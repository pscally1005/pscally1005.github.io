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ts1\Documents\website\python\other\"/>
    </mc:Choice>
  </mc:AlternateContent>
  <xr:revisionPtr revIDLastSave="0" documentId="13_ncr:1_{9409816E-B280-4936-B940-D673AD775AC5}" xr6:coauthVersionLast="47" xr6:coauthVersionMax="47" xr10:uidLastSave="{00000000-0000-0000-0000-000000000000}"/>
  <bookViews>
    <workbookView xWindow="-28920" yWindow="-105" windowWidth="29040" windowHeight="15840" xr2:uid="{F6D9109D-DC33-44D9-AD46-2C8EB1080C2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7" i="1" l="1"/>
  <c r="F38" i="1"/>
  <c r="F29" i="1"/>
  <c r="L29" i="1"/>
  <c r="F55" i="1"/>
  <c r="F56" i="1"/>
  <c r="F57" i="1"/>
  <c r="L57" i="1" s="1"/>
  <c r="F58" i="1"/>
  <c r="L58" i="1" s="1"/>
  <c r="F59" i="1"/>
  <c r="F60" i="1"/>
  <c r="F61" i="1"/>
  <c r="F62" i="1"/>
  <c r="L62" i="1" s="1"/>
  <c r="F63" i="1"/>
  <c r="L63" i="1" s="1"/>
  <c r="F64" i="1"/>
  <c r="L64" i="1" s="1"/>
  <c r="F65" i="1"/>
  <c r="L65" i="1" s="1"/>
  <c r="F66" i="1"/>
  <c r="F67" i="1"/>
  <c r="F68" i="1"/>
  <c r="F69" i="1"/>
  <c r="L69" i="1" s="1"/>
  <c r="F70" i="1"/>
  <c r="L70" i="1" s="1"/>
  <c r="F71" i="1"/>
  <c r="L71" i="1" s="1"/>
  <c r="F72" i="1"/>
  <c r="F73" i="1"/>
  <c r="F54" i="1"/>
  <c r="L55" i="1"/>
  <c r="L56" i="1"/>
  <c r="L60" i="1"/>
  <c r="L67" i="1"/>
  <c r="L68" i="1"/>
  <c r="L72" i="1"/>
  <c r="L76" i="1"/>
  <c r="L77" i="1"/>
  <c r="L75" i="1"/>
  <c r="L59" i="1"/>
  <c r="L61" i="1"/>
  <c r="L66" i="1"/>
  <c r="L73" i="1"/>
  <c r="L54" i="1"/>
  <c r="L42" i="1"/>
  <c r="L43" i="1"/>
  <c r="L44" i="1"/>
  <c r="L45" i="1"/>
  <c r="L46" i="1"/>
  <c r="L47" i="1"/>
  <c r="L48" i="1"/>
  <c r="L49" i="1"/>
  <c r="L50" i="1"/>
  <c r="L51" i="1"/>
  <c r="L52" i="1"/>
  <c r="L41" i="1"/>
  <c r="L27" i="1"/>
  <c r="L28" i="1"/>
  <c r="L30" i="1"/>
  <c r="L31" i="1"/>
  <c r="L32" i="1"/>
  <c r="L33" i="1"/>
  <c r="L34" i="1"/>
  <c r="L35" i="1"/>
  <c r="L36" i="1"/>
  <c r="L37" i="1"/>
  <c r="L38" i="1"/>
  <c r="L39" i="1"/>
  <c r="L26" i="1"/>
  <c r="L25" i="1"/>
  <c r="L24" i="1"/>
  <c r="L23" i="1"/>
  <c r="L22" i="1"/>
  <c r="L20" i="1"/>
  <c r="L19" i="1"/>
  <c r="L18" i="1"/>
  <c r="L17" i="1"/>
  <c r="L15" i="1"/>
  <c r="L14" i="1"/>
  <c r="L13" i="1"/>
  <c r="L11" i="1"/>
  <c r="L2" i="1"/>
  <c r="L9" i="1"/>
  <c r="L8" i="1"/>
  <c r="L7" i="1"/>
  <c r="L6" i="1"/>
  <c r="L5" i="1"/>
  <c r="L4" i="1"/>
  <c r="H14" i="1"/>
  <c r="J14" i="1"/>
  <c r="K14" i="1"/>
  <c r="H15" i="1"/>
  <c r="J15" i="1"/>
  <c r="K15" i="1"/>
  <c r="J13" i="1"/>
  <c r="K13" i="1"/>
  <c r="H13" i="1"/>
  <c r="H55" i="1"/>
  <c r="K55" i="1"/>
  <c r="H56" i="1"/>
  <c r="K56" i="1"/>
  <c r="H57" i="1"/>
  <c r="K57" i="1"/>
  <c r="H59" i="1"/>
  <c r="K59" i="1"/>
  <c r="H60" i="1"/>
  <c r="K60" i="1"/>
  <c r="H61" i="1"/>
  <c r="K61" i="1"/>
  <c r="H62" i="1"/>
  <c r="H63" i="1"/>
  <c r="K63" i="1"/>
  <c r="H64" i="1"/>
  <c r="K64" i="1"/>
  <c r="H65" i="1"/>
  <c r="K65" i="1"/>
  <c r="H66" i="1"/>
  <c r="K66" i="1"/>
  <c r="H67" i="1"/>
  <c r="K67" i="1"/>
  <c r="H68" i="1"/>
  <c r="K68" i="1"/>
  <c r="H69" i="1"/>
  <c r="K69" i="1"/>
  <c r="H70" i="1"/>
  <c r="K70" i="1"/>
  <c r="H71" i="1"/>
  <c r="K71" i="1"/>
  <c r="H72" i="1"/>
  <c r="K72" i="1"/>
  <c r="H73" i="1"/>
  <c r="K73" i="1"/>
  <c r="K54" i="1"/>
  <c r="H54" i="1"/>
  <c r="J11" i="1"/>
  <c r="K11" i="1"/>
  <c r="H11" i="1"/>
  <c r="H4" i="1"/>
  <c r="J4" i="1"/>
  <c r="K4" i="1"/>
  <c r="H5" i="1"/>
  <c r="J5" i="1"/>
  <c r="K5" i="1"/>
  <c r="H6" i="1"/>
  <c r="J6" i="1"/>
  <c r="K6" i="1"/>
  <c r="H7" i="1"/>
  <c r="J7" i="1"/>
  <c r="K7" i="1"/>
  <c r="H8" i="1"/>
  <c r="I8" i="1"/>
  <c r="J8" i="1"/>
  <c r="K8" i="1"/>
  <c r="H9" i="1"/>
  <c r="J9" i="1"/>
  <c r="K9" i="1"/>
  <c r="H17" i="1"/>
  <c r="J17" i="1"/>
  <c r="K17" i="1"/>
  <c r="I18" i="1"/>
  <c r="J18" i="1"/>
  <c r="H22" i="1"/>
  <c r="J22" i="1"/>
  <c r="K22" i="1"/>
  <c r="H23" i="1"/>
  <c r="J23" i="1"/>
  <c r="K23" i="1"/>
  <c r="H24" i="1"/>
  <c r="J24" i="1"/>
  <c r="K24" i="1"/>
  <c r="H25" i="1"/>
  <c r="J25" i="1"/>
  <c r="K25" i="1"/>
  <c r="H26" i="1"/>
  <c r="J26" i="1"/>
  <c r="K26" i="1"/>
  <c r="H27" i="1"/>
  <c r="J27" i="1"/>
  <c r="K27" i="1"/>
  <c r="H28" i="1"/>
  <c r="J28" i="1"/>
  <c r="K28" i="1"/>
  <c r="H29" i="1"/>
  <c r="K29" i="1"/>
  <c r="H30" i="1"/>
  <c r="J30" i="1"/>
  <c r="K30" i="1"/>
  <c r="H31" i="1"/>
  <c r="J31" i="1"/>
  <c r="K31" i="1"/>
  <c r="H32" i="1"/>
  <c r="J32" i="1"/>
  <c r="K32" i="1"/>
  <c r="H33" i="1"/>
  <c r="J33" i="1"/>
  <c r="K33" i="1"/>
  <c r="H34" i="1"/>
  <c r="J34" i="1"/>
  <c r="K34" i="1"/>
  <c r="H35" i="1"/>
  <c r="J35" i="1"/>
  <c r="K35" i="1"/>
  <c r="H36" i="1"/>
  <c r="J36" i="1"/>
  <c r="K36" i="1"/>
  <c r="H37" i="1"/>
  <c r="J37" i="1"/>
  <c r="K37" i="1"/>
  <c r="H38" i="1"/>
  <c r="K38" i="1"/>
  <c r="H39" i="1"/>
  <c r="J39" i="1"/>
  <c r="K39" i="1"/>
  <c r="H41" i="1"/>
  <c r="J41" i="1"/>
  <c r="K41" i="1"/>
  <c r="H42" i="1"/>
  <c r="J42" i="1"/>
  <c r="K42" i="1"/>
  <c r="H43" i="1"/>
  <c r="J43" i="1"/>
  <c r="K43" i="1"/>
  <c r="H44" i="1"/>
  <c r="J44" i="1"/>
  <c r="K44" i="1"/>
  <c r="H45" i="1"/>
  <c r="K45" i="1"/>
  <c r="H46" i="1"/>
  <c r="J46" i="1"/>
  <c r="K46" i="1"/>
  <c r="H47" i="1"/>
  <c r="K47" i="1"/>
  <c r="H48" i="1"/>
  <c r="J48" i="1"/>
  <c r="K48" i="1"/>
  <c r="H49" i="1"/>
  <c r="J49" i="1"/>
  <c r="K49" i="1"/>
  <c r="H50" i="1"/>
  <c r="J50" i="1"/>
  <c r="K50" i="1"/>
  <c r="H51" i="1"/>
  <c r="J51" i="1"/>
  <c r="K51" i="1"/>
  <c r="H52" i="1"/>
  <c r="J52" i="1"/>
  <c r="K52" i="1"/>
  <c r="J75" i="1"/>
  <c r="K75" i="1"/>
  <c r="J76" i="1"/>
  <c r="K77" i="1"/>
  <c r="J2" i="1"/>
  <c r="K2" i="1"/>
  <c r="H2" i="1"/>
  <c r="C75" i="1"/>
  <c r="I75" i="1" s="1"/>
  <c r="R1" i="1"/>
  <c r="D73" i="1" s="1"/>
  <c r="J73" i="1" s="1"/>
  <c r="C62" i="1"/>
  <c r="I62" i="1" s="1"/>
  <c r="E75" i="1"/>
  <c r="E76" i="1" s="1"/>
  <c r="E77" i="1" s="1"/>
  <c r="D76" i="1"/>
  <c r="D77" i="1" s="1"/>
  <c r="J77" i="1" s="1"/>
  <c r="C18" i="1"/>
  <c r="B18" i="1" s="1"/>
  <c r="B19" i="1" s="1"/>
  <c r="B20" i="1" s="1"/>
  <c r="H20" i="1" s="1"/>
  <c r="E18" i="1"/>
  <c r="E19" i="1" s="1"/>
  <c r="E20" i="1" s="1"/>
  <c r="K20" i="1" s="1"/>
  <c r="D19" i="1"/>
  <c r="D20" i="1" s="1"/>
  <c r="J20" i="1" s="1"/>
  <c r="B58" i="1"/>
  <c r="H58" i="1" s="1"/>
  <c r="E58" i="1"/>
  <c r="K58" i="1" s="1"/>
  <c r="O1" i="1"/>
  <c r="C6" i="1" s="1"/>
  <c r="I6" i="1" s="1"/>
  <c r="H18" i="1" l="1"/>
  <c r="J19" i="1"/>
  <c r="H19" i="1"/>
  <c r="K18" i="1"/>
  <c r="K76" i="1"/>
  <c r="K19" i="1"/>
  <c r="C2" i="1"/>
  <c r="I2" i="1" s="1"/>
  <c r="C19" i="1"/>
  <c r="D61" i="1"/>
  <c r="C48" i="1"/>
  <c r="I48" i="1" s="1"/>
  <c r="C35" i="1"/>
  <c r="I35" i="1" s="1"/>
  <c r="D63" i="1"/>
  <c r="D29" i="1"/>
  <c r="D64" i="1"/>
  <c r="C25" i="1"/>
  <c r="I25" i="1" s="1"/>
  <c r="C37" i="1"/>
  <c r="I37" i="1" s="1"/>
  <c r="C50" i="1"/>
  <c r="I50" i="1" s="1"/>
  <c r="D38" i="1"/>
  <c r="D65" i="1"/>
  <c r="C26" i="1"/>
  <c r="I26" i="1" s="1"/>
  <c r="C51" i="1"/>
  <c r="I51" i="1" s="1"/>
  <c r="C49" i="1"/>
  <c r="I49" i="1" s="1"/>
  <c r="D45" i="1"/>
  <c r="D66" i="1"/>
  <c r="C27" i="1"/>
  <c r="I27" i="1" s="1"/>
  <c r="C39" i="1"/>
  <c r="I39" i="1" s="1"/>
  <c r="C52" i="1"/>
  <c r="I52" i="1" s="1"/>
  <c r="D47" i="1"/>
  <c r="D67" i="1"/>
  <c r="C28" i="1"/>
  <c r="I28" i="1" s="1"/>
  <c r="C41" i="1"/>
  <c r="I41" i="1" s="1"/>
  <c r="C36" i="1"/>
  <c r="I36" i="1" s="1"/>
  <c r="C13" i="1"/>
  <c r="I13" i="1" s="1"/>
  <c r="D54" i="1"/>
  <c r="D68" i="1"/>
  <c r="C42" i="1"/>
  <c r="I42" i="1" s="1"/>
  <c r="C23" i="1"/>
  <c r="I23" i="1" s="1"/>
  <c r="C24" i="1"/>
  <c r="I24" i="1" s="1"/>
  <c r="C14" i="1"/>
  <c r="I14" i="1" s="1"/>
  <c r="D55" i="1"/>
  <c r="D69" i="1"/>
  <c r="C30" i="1"/>
  <c r="I30" i="1" s="1"/>
  <c r="C43" i="1"/>
  <c r="I43" i="1" s="1"/>
  <c r="D56" i="1"/>
  <c r="C44" i="1"/>
  <c r="I44" i="1" s="1"/>
  <c r="C17" i="1"/>
  <c r="I17" i="1" s="1"/>
  <c r="D57" i="1"/>
  <c r="D71" i="1"/>
  <c r="C32" i="1"/>
  <c r="I32" i="1" s="1"/>
  <c r="D70" i="1"/>
  <c r="C31" i="1"/>
  <c r="I31" i="1" s="1"/>
  <c r="C22" i="1"/>
  <c r="I22" i="1" s="1"/>
  <c r="D59" i="1"/>
  <c r="D72" i="1"/>
  <c r="C33" i="1"/>
  <c r="I33" i="1" s="1"/>
  <c r="C46" i="1"/>
  <c r="I46" i="1" s="1"/>
  <c r="C15" i="1"/>
  <c r="I15" i="1" s="1"/>
  <c r="D60" i="1"/>
  <c r="C34" i="1"/>
  <c r="I34" i="1" s="1"/>
  <c r="C73" i="1"/>
  <c r="I73" i="1" s="1"/>
  <c r="C11" i="1"/>
  <c r="I11" i="1" s="1"/>
  <c r="C9" i="1"/>
  <c r="I9" i="1" s="1"/>
  <c r="C4" i="1"/>
  <c r="I4" i="1" s="1"/>
  <c r="C7" i="1"/>
  <c r="I7" i="1" s="1"/>
  <c r="C5" i="1"/>
  <c r="I5" i="1" s="1"/>
  <c r="D62" i="1"/>
  <c r="B75" i="1"/>
  <c r="C76" i="1"/>
  <c r="C55" i="1" l="1"/>
  <c r="I55" i="1" s="1"/>
  <c r="J55" i="1"/>
  <c r="C64" i="1"/>
  <c r="I64" i="1" s="1"/>
  <c r="J64" i="1"/>
  <c r="C70" i="1"/>
  <c r="I70" i="1" s="1"/>
  <c r="J70" i="1"/>
  <c r="C71" i="1"/>
  <c r="I71" i="1" s="1"/>
  <c r="J71" i="1"/>
  <c r="C63" i="1"/>
  <c r="I63" i="1" s="1"/>
  <c r="J63" i="1"/>
  <c r="C29" i="1"/>
  <c r="I29" i="1" s="1"/>
  <c r="J29" i="1"/>
  <c r="C60" i="1"/>
  <c r="I60" i="1" s="1"/>
  <c r="J60" i="1"/>
  <c r="C61" i="1"/>
  <c r="I61" i="1" s="1"/>
  <c r="J61" i="1"/>
  <c r="D58" i="1"/>
  <c r="J58" i="1" s="1"/>
  <c r="J57" i="1"/>
  <c r="C45" i="1"/>
  <c r="I45" i="1" s="1"/>
  <c r="J45" i="1"/>
  <c r="C54" i="1"/>
  <c r="I54" i="1" s="1"/>
  <c r="J54" i="1"/>
  <c r="C77" i="1"/>
  <c r="I77" i="1" s="1"/>
  <c r="I76" i="1"/>
  <c r="C56" i="1"/>
  <c r="I56" i="1" s="1"/>
  <c r="J56" i="1"/>
  <c r="C20" i="1"/>
  <c r="I20" i="1" s="1"/>
  <c r="I19" i="1"/>
  <c r="C47" i="1"/>
  <c r="I47" i="1" s="1"/>
  <c r="J47" i="1"/>
  <c r="C66" i="1"/>
  <c r="I66" i="1" s="1"/>
  <c r="J66" i="1"/>
  <c r="C68" i="1"/>
  <c r="I68" i="1" s="1"/>
  <c r="J68" i="1"/>
  <c r="B76" i="1"/>
  <c r="H75" i="1"/>
  <c r="C65" i="1"/>
  <c r="I65" i="1" s="1"/>
  <c r="J65" i="1"/>
  <c r="E62" i="1"/>
  <c r="K62" i="1" s="1"/>
  <c r="J62" i="1"/>
  <c r="C72" i="1"/>
  <c r="I72" i="1" s="1"/>
  <c r="J72" i="1"/>
  <c r="C38" i="1"/>
  <c r="I38" i="1" s="1"/>
  <c r="J38" i="1"/>
  <c r="C59" i="1"/>
  <c r="I59" i="1" s="1"/>
  <c r="J59" i="1"/>
  <c r="C69" i="1"/>
  <c r="I69" i="1" s="1"/>
  <c r="J69" i="1"/>
  <c r="C67" i="1"/>
  <c r="I67" i="1" s="1"/>
  <c r="J67" i="1"/>
  <c r="C57" i="1"/>
  <c r="B77" i="1" l="1"/>
  <c r="H77" i="1" s="1"/>
  <c r="H76" i="1"/>
  <c r="C58" i="1"/>
  <c r="I58" i="1" s="1"/>
  <c r="I57" i="1"/>
</calcChain>
</file>

<file path=xl/sharedStrings.xml><?xml version="1.0" encoding="utf-8"?>
<sst xmlns="http://schemas.openxmlformats.org/spreadsheetml/2006/main" count="81" uniqueCount="81">
  <si>
    <t>Fat</t>
  </si>
  <si>
    <t>  Saturated fatty acids</t>
  </si>
  <si>
    <t>  Monounsaturated fatty acids</t>
  </si>
  <si>
    <t>  Polyunsaturated fatty acids</t>
  </si>
  <si>
    <t>Cholesterol</t>
  </si>
  <si>
    <t>Nutrient</t>
  </si>
  <si>
    <t>Protein</t>
  </si>
  <si>
    <t>Carbohydrate</t>
  </si>
  <si>
    <t>  Sugars</t>
  </si>
  <si>
    <t>  Fiber</t>
  </si>
  <si>
    <t>Water</t>
  </si>
  <si>
    <t>Caffeine</t>
  </si>
  <si>
    <t>Theobromine</t>
  </si>
  <si>
    <t>Alcohol, ethyl</t>
  </si>
  <si>
    <t>Vitamin A, RAE</t>
  </si>
  <si>
    <t>  Carotene, alpha</t>
  </si>
  <si>
    <t>  Carotene, beta</t>
  </si>
  <si>
    <t>  Retinol</t>
  </si>
  <si>
    <t>Thiamin [Vitamin B1]</t>
  </si>
  <si>
    <t>Riboflavin [Vitamin B2]</t>
  </si>
  <si>
    <t>Niacin [Vitamin B3]</t>
  </si>
  <si>
    <t>Pantothenic acid [Vitamin B5]</t>
  </si>
  <si>
    <t>Vitamin B6</t>
  </si>
  <si>
    <t>Biotin [Vitamin B7]</t>
  </si>
  <si>
    <t>Folate, DFE [Vitamin B9]</t>
  </si>
  <si>
    <t>Vitamin B12 [Cobalamin]</t>
  </si>
  <si>
    <t>Vitamin C [Ascorbic acid]</t>
  </si>
  <si>
    <t>Vitamin D</t>
  </si>
  <si>
    <t>Vitamin E (alpha-tocopherol)</t>
  </si>
  <si>
    <t>Vitamin K</t>
  </si>
  <si>
    <t>Betaine</t>
  </si>
  <si>
    <t>Choline</t>
  </si>
  <si>
    <t>Calcium</t>
  </si>
  <si>
    <t>Copper</t>
  </si>
  <si>
    <t>Fluoride</t>
  </si>
  <si>
    <t>Iodine</t>
  </si>
  <si>
    <t>Iron</t>
  </si>
  <si>
    <t>Magnesium</t>
  </si>
  <si>
    <t>Manganese</t>
  </si>
  <si>
    <t>Phosphorus</t>
  </si>
  <si>
    <t>Potassium</t>
  </si>
  <si>
    <t>Selenium</t>
  </si>
  <si>
    <t>Sodium</t>
  </si>
  <si>
    <t>Zinc</t>
  </si>
  <si>
    <t>Alanine</t>
  </si>
  <si>
    <t>Arginine</t>
  </si>
  <si>
    <t>Aspartic acid</t>
  </si>
  <si>
    <t>Cystine</t>
  </si>
  <si>
    <t>Cysteine</t>
  </si>
  <si>
    <t>Glutamic acid</t>
  </si>
  <si>
    <t>Glycine</t>
  </si>
  <si>
    <t>Histidine</t>
  </si>
  <si>
    <t>Hydroxyproline</t>
  </si>
  <si>
    <t>Isoleucine</t>
  </si>
  <si>
    <t>Leucine</t>
  </si>
  <si>
    <t>Lysine</t>
  </si>
  <si>
    <t>Methionine</t>
  </si>
  <si>
    <t>Phenylalanine</t>
  </si>
  <si>
    <t>Proline</t>
  </si>
  <si>
    <t>Serine</t>
  </si>
  <si>
    <t>Threonine</t>
  </si>
  <si>
    <t>Tryptophan</t>
  </si>
  <si>
    <t>Tyrosine</t>
  </si>
  <si>
    <t>Valine</t>
  </si>
  <si>
    <t>Docosahexaenoic n-3 acid (DHA)</t>
  </si>
  <si>
    <t>Docosapentaenoic n-3 acid (DPA)</t>
  </si>
  <si>
    <t>Eicosapentaenoic n-3 acid (EPA)</t>
  </si>
  <si>
    <t>Calories</t>
  </si>
  <si>
    <t>Trans Fat</t>
  </si>
  <si>
    <t>Regular
Whole</t>
  </si>
  <si>
    <t>Regular
2%</t>
  </si>
  <si>
    <t>Regular
1%</t>
  </si>
  <si>
    <t>Regular
Skim</t>
  </si>
  <si>
    <t>Fairlife
Whole</t>
  </si>
  <si>
    <t>Fairlife
2%</t>
  </si>
  <si>
    <t>Fairlife
1%</t>
  </si>
  <si>
    <t>Fairlife
Skim</t>
  </si>
  <si>
    <t>Weight
[3.7 &amp; 1]</t>
  </si>
  <si>
    <t>Weight
[3.7 &amp; 0]</t>
  </si>
  <si>
    <t>Regular
Chocolate</t>
  </si>
  <si>
    <t>Fairlife
Chocolate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</si>
</sst>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#,##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9" fontId="1" fillId="0" borderId="0" xfId="0" applyNumberFormat="1" applyFont="1" applyFill="1" applyAlignment="1">
      <alignment horizontal="center" vertical="center" wrapText="1"/>
    </xf>
    <xf numFmtId="9" fontId="1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0" fillId="0" borderId="0" xfId="0" applyFont="1" applyAlignment="1">
      <alignment horizontal="right" vertical="center"/>
    </xf>
    <xf numFmtId="0" fontId="0" fillId="0" borderId="0" xfId="0" applyFont="1" applyAlignment="1">
      <alignment horizontal="center" vertical="center"/>
    </xf>
    <xf numFmtId="3" fontId="0" fillId="0" borderId="0" xfId="0" applyNumberFormat="1" applyFont="1" applyFill="1" applyAlignment="1">
      <alignment horizontal="center" vertical="center"/>
    </xf>
    <xf numFmtId="3" fontId="0" fillId="0" borderId="0" xfId="0" applyNumberFormat="1" applyFont="1" applyAlignment="1">
      <alignment horizontal="center" vertical="center"/>
    </xf>
    <xf numFmtId="3" fontId="1" fillId="0" borderId="0" xfId="0" applyNumberFormat="1" applyFont="1" applyFill="1" applyAlignment="1">
      <alignment horizontal="center" vertical="center"/>
    </xf>
    <xf numFmtId="168" fontId="0" fillId="0" borderId="0" xfId="0" applyNumberFormat="1" applyFont="1" applyAlignment="1">
      <alignment horizontal="center" vertical="center"/>
    </xf>
    <xf numFmtId="0" fontId="0" fillId="0" borderId="0" xfId="0" applyAlignment="1">
      <alignment horizontal="right" vertical="center"/>
    </xf>
    <xf numFmtId="168" fontId="0" fillId="0" borderId="0" xfId="0" applyNumberFormat="1" applyAlignment="1">
      <alignment horizontal="center" vertical="center"/>
    </xf>
    <xf numFmtId="168" fontId="0" fillId="0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right" vertical="center" wrapText="1"/>
    </xf>
    <xf numFmtId="0" fontId="1" fillId="0" borderId="0" xfId="0" applyFont="1" applyFill="1" applyAlignment="1">
      <alignment horizontal="center" vertical="center" wrapText="1"/>
    </xf>
    <xf numFmtId="168" fontId="0" fillId="0" borderId="0" xfId="0" applyNumberFormat="1" applyFont="1" applyFill="1" applyAlignment="1">
      <alignment horizontal="center" vertical="center"/>
    </xf>
    <xf numFmtId="0" fontId="0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F36A3-0443-45FA-9653-4925C03A754C}">
  <dimension ref="A1:R77"/>
  <sheetViews>
    <sheetView tabSelected="1" workbookViewId="0">
      <pane ySplit="1" topLeftCell="A53" activePane="bottomLeft" state="frozen"/>
      <selection pane="bottomLeft" activeCell="L54" sqref="L54"/>
    </sheetView>
  </sheetViews>
  <sheetFormatPr defaultRowHeight="15" x14ac:dyDescent="0.25"/>
  <cols>
    <col min="1" max="1" width="30.85546875" style="14" bestFit="1" customWidth="1"/>
    <col min="2" max="2" width="9.140625" style="17"/>
    <col min="3" max="3" width="9.140625" style="22"/>
    <col min="4" max="5" width="9.140625" style="17"/>
    <col min="6" max="6" width="9.85546875" style="22" bestFit="1" customWidth="1"/>
    <col min="7" max="7" width="9.140625" style="17"/>
    <col min="8" max="10" width="9.140625" style="22"/>
    <col min="11" max="11" width="9.140625" style="17"/>
    <col min="12" max="12" width="9.85546875" style="22" bestFit="1" customWidth="1"/>
    <col min="13" max="13" width="9.140625" style="17"/>
    <col min="14" max="14" width="15.5703125" style="14" bestFit="1" customWidth="1"/>
    <col min="15" max="16" width="9.140625" style="18"/>
    <col min="17" max="17" width="15.5703125" style="14" bestFit="1" customWidth="1"/>
    <col min="18" max="18" width="9.140625" style="18"/>
    <col min="19" max="16384" width="9.140625" style="19"/>
  </cols>
  <sheetData>
    <row r="1" spans="1:18" s="7" customFormat="1" ht="45" x14ac:dyDescent="0.25">
      <c r="A1" s="1" t="s">
        <v>5</v>
      </c>
      <c r="B1" s="2" t="s">
        <v>69</v>
      </c>
      <c r="C1" s="3" t="s">
        <v>70</v>
      </c>
      <c r="D1" s="4" t="s">
        <v>71</v>
      </c>
      <c r="E1" s="2" t="s">
        <v>72</v>
      </c>
      <c r="F1" s="24" t="s">
        <v>79</v>
      </c>
      <c r="G1" s="5"/>
      <c r="H1" s="24" t="s">
        <v>73</v>
      </c>
      <c r="I1" s="24" t="s">
        <v>74</v>
      </c>
      <c r="J1" s="3" t="s">
        <v>75</v>
      </c>
      <c r="K1" s="2" t="s">
        <v>76</v>
      </c>
      <c r="L1" s="24" t="s">
        <v>80</v>
      </c>
      <c r="M1" s="5"/>
      <c r="N1" s="23" t="s">
        <v>77</v>
      </c>
      <c r="O1" s="6">
        <f>(2-1)/(3.7-1)</f>
        <v>0.37037037037037035</v>
      </c>
      <c r="P1" s="6"/>
      <c r="Q1" s="23" t="s">
        <v>78</v>
      </c>
      <c r="R1" s="6">
        <f>2/3.7</f>
        <v>0.54054054054054046</v>
      </c>
    </row>
    <row r="2" spans="1:18" s="7" customFormat="1" x14ac:dyDescent="0.25">
      <c r="A2" s="8" t="s">
        <v>67</v>
      </c>
      <c r="B2" s="9">
        <v>146</v>
      </c>
      <c r="C2" s="10">
        <f>B2*$O$1+D2*(1-$O$1)</f>
        <v>118.92592592592592</v>
      </c>
      <c r="D2" s="9">
        <v>103</v>
      </c>
      <c r="E2" s="9">
        <v>82</v>
      </c>
      <c r="F2" s="26">
        <v>154</v>
      </c>
      <c r="G2" s="9"/>
      <c r="H2" s="10">
        <f>B2</f>
        <v>146</v>
      </c>
      <c r="I2" s="10">
        <f t="shared" ref="I2:K2" si="0">C2</f>
        <v>118.92592592592592</v>
      </c>
      <c r="J2" s="10">
        <f t="shared" si="0"/>
        <v>103</v>
      </c>
      <c r="K2" s="11">
        <f t="shared" si="0"/>
        <v>82</v>
      </c>
      <c r="L2" s="10">
        <f>B2</f>
        <v>146</v>
      </c>
      <c r="M2" s="5"/>
      <c r="N2" s="1"/>
      <c r="O2" s="6"/>
      <c r="P2" s="6"/>
      <c r="Q2" s="1"/>
      <c r="R2" s="6"/>
    </row>
    <row r="3" spans="1:18" s="7" customFormat="1" x14ac:dyDescent="0.25">
      <c r="A3" s="1"/>
      <c r="B3" s="5"/>
      <c r="C3" s="12"/>
      <c r="D3" s="5"/>
      <c r="E3" s="5"/>
      <c r="F3" s="27"/>
      <c r="G3" s="5"/>
      <c r="H3" s="25"/>
      <c r="I3" s="25"/>
      <c r="J3" s="25"/>
      <c r="K3" s="13"/>
      <c r="L3" s="25"/>
      <c r="M3" s="5"/>
      <c r="N3" s="1"/>
      <c r="O3" s="6"/>
      <c r="P3" s="6"/>
      <c r="Q3" s="1"/>
      <c r="R3" s="6"/>
    </row>
    <row r="4" spans="1:18" x14ac:dyDescent="0.25">
      <c r="A4" s="14" t="s">
        <v>0</v>
      </c>
      <c r="B4" s="15">
        <v>7.68</v>
      </c>
      <c r="C4" s="16">
        <f>B4*$O$1+D4*(1-$O$1)</f>
        <v>4.2799999999999994</v>
      </c>
      <c r="D4" s="15">
        <v>2.2799999999999998</v>
      </c>
      <c r="E4" s="15">
        <v>0.192</v>
      </c>
      <c r="F4" s="16">
        <v>2.6640000000000001</v>
      </c>
      <c r="G4" s="15"/>
      <c r="H4" s="25">
        <f>B4</f>
        <v>7.68</v>
      </c>
      <c r="I4" s="25">
        <f>C4</f>
        <v>4.2799999999999994</v>
      </c>
      <c r="J4" s="25">
        <f>D4</f>
        <v>2.2799999999999998</v>
      </c>
      <c r="K4" s="13">
        <f>E4</f>
        <v>0.192</v>
      </c>
      <c r="L4" s="25">
        <f>C4</f>
        <v>4.2799999999999994</v>
      </c>
    </row>
    <row r="5" spans="1:18" x14ac:dyDescent="0.25">
      <c r="A5" s="14" t="s">
        <v>1</v>
      </c>
      <c r="B5" s="15">
        <v>4.4640000000000004</v>
      </c>
      <c r="C5" s="16">
        <f>B5*$O$1+D5*(1-$O$1)</f>
        <v>2.5115185185185185</v>
      </c>
      <c r="D5" s="15">
        <v>1.363</v>
      </c>
      <c r="E5" s="15">
        <v>0.11799999999999999</v>
      </c>
      <c r="F5" s="16">
        <v>1.478</v>
      </c>
      <c r="G5" s="15"/>
      <c r="H5" s="25">
        <f>B5</f>
        <v>4.4640000000000004</v>
      </c>
      <c r="I5" s="25">
        <f>C5</f>
        <v>2.5115185185185185</v>
      </c>
      <c r="J5" s="25">
        <f>D5</f>
        <v>1.363</v>
      </c>
      <c r="K5" s="13">
        <f>E5</f>
        <v>0.11799999999999999</v>
      </c>
      <c r="L5" s="25">
        <f>C5</f>
        <v>2.5115185185185185</v>
      </c>
    </row>
    <row r="6" spans="1:18" x14ac:dyDescent="0.25">
      <c r="A6" s="14" t="s">
        <v>2</v>
      </c>
      <c r="B6" s="15">
        <v>1.651</v>
      </c>
      <c r="C6" s="16">
        <f>B6*$O$1+D6*(1-$O$1)</f>
        <v>0.92881481481481476</v>
      </c>
      <c r="D6" s="15">
        <v>0.504</v>
      </c>
      <c r="E6" s="15">
        <v>4.1000000000000002E-2</v>
      </c>
      <c r="F6" s="16">
        <v>0.72</v>
      </c>
      <c r="G6" s="15"/>
      <c r="H6" s="25">
        <f>B6</f>
        <v>1.651</v>
      </c>
      <c r="I6" s="25">
        <f>C6</f>
        <v>0.92881481481481476</v>
      </c>
      <c r="J6" s="25">
        <f>D6</f>
        <v>0.504</v>
      </c>
      <c r="K6" s="13">
        <f>E6</f>
        <v>4.1000000000000002E-2</v>
      </c>
      <c r="L6" s="25">
        <f>C6</f>
        <v>0.92881481481481476</v>
      </c>
    </row>
    <row r="7" spans="1:18" x14ac:dyDescent="0.25">
      <c r="A7" s="14" t="s">
        <v>3</v>
      </c>
      <c r="B7" s="15">
        <v>0.25900000000000001</v>
      </c>
      <c r="C7" s="16">
        <f>B7*$O$1+D7*(1-$O$1)</f>
        <v>0.1444074074074074</v>
      </c>
      <c r="D7" s="15">
        <v>7.6999999999999999E-2</v>
      </c>
      <c r="E7" s="15">
        <v>1.4E-2</v>
      </c>
      <c r="F7" s="16">
        <v>0.11799999999999999</v>
      </c>
      <c r="G7" s="15"/>
      <c r="H7" s="25">
        <f>B7</f>
        <v>0.25900000000000001</v>
      </c>
      <c r="I7" s="25">
        <f>C7</f>
        <v>0.1444074074074074</v>
      </c>
      <c r="J7" s="25">
        <f>D7</f>
        <v>7.6999999999999999E-2</v>
      </c>
      <c r="K7" s="13">
        <f>E7</f>
        <v>1.4E-2</v>
      </c>
      <c r="L7" s="25">
        <f>C7</f>
        <v>0.1444074074074074</v>
      </c>
    </row>
    <row r="8" spans="1:18" x14ac:dyDescent="0.25">
      <c r="A8" s="14" t="s">
        <v>68</v>
      </c>
      <c r="B8" s="15">
        <v>0</v>
      </c>
      <c r="C8" s="16">
        <v>0</v>
      </c>
      <c r="D8" s="15">
        <v>0</v>
      </c>
      <c r="E8" s="15">
        <v>0</v>
      </c>
      <c r="F8" s="16">
        <v>0</v>
      </c>
      <c r="G8" s="15"/>
      <c r="H8" s="25">
        <f>B8</f>
        <v>0</v>
      </c>
      <c r="I8" s="25">
        <f>C8</f>
        <v>0</v>
      </c>
      <c r="J8" s="25">
        <f>D8</f>
        <v>0</v>
      </c>
      <c r="K8" s="13">
        <f>E8</f>
        <v>0</v>
      </c>
      <c r="L8" s="25">
        <f>C8</f>
        <v>0</v>
      </c>
    </row>
    <row r="9" spans="1:18" x14ac:dyDescent="0.25">
      <c r="A9" s="14" t="s">
        <v>4</v>
      </c>
      <c r="B9" s="20">
        <v>29</v>
      </c>
      <c r="C9" s="21">
        <f>B9*$O$1+D9*(1-$O$1)</f>
        <v>18.296296296296298</v>
      </c>
      <c r="D9" s="20">
        <v>12</v>
      </c>
      <c r="E9" s="20">
        <v>7</v>
      </c>
      <c r="F9" s="21">
        <v>12</v>
      </c>
      <c r="G9" s="20"/>
      <c r="H9" s="10">
        <f>B9</f>
        <v>29</v>
      </c>
      <c r="I9" s="10">
        <f>C9</f>
        <v>18.296296296296298</v>
      </c>
      <c r="J9" s="10">
        <f>D9</f>
        <v>12</v>
      </c>
      <c r="K9" s="11">
        <f>E9</f>
        <v>7</v>
      </c>
      <c r="L9" s="10">
        <f>C9</f>
        <v>18.296296296296298</v>
      </c>
    </row>
    <row r="10" spans="1:18" x14ac:dyDescent="0.25">
      <c r="B10" s="15"/>
      <c r="C10" s="16"/>
      <c r="D10" s="15"/>
      <c r="E10" s="15"/>
      <c r="F10" s="16"/>
      <c r="G10" s="15"/>
      <c r="H10" s="25"/>
      <c r="I10" s="25"/>
      <c r="J10" s="25"/>
      <c r="K10" s="13"/>
      <c r="L10" s="25"/>
    </row>
    <row r="11" spans="1:18" x14ac:dyDescent="0.25">
      <c r="A11" s="14" t="s">
        <v>6</v>
      </c>
      <c r="B11" s="15">
        <v>7.85</v>
      </c>
      <c r="C11" s="16">
        <f>B11*$O$1+D11*(1-$O$1)</f>
        <v>8.0137037037037029</v>
      </c>
      <c r="D11" s="15">
        <v>8.11</v>
      </c>
      <c r="E11" s="15">
        <v>8.09</v>
      </c>
      <c r="F11" s="16">
        <v>8.3000000000000007</v>
      </c>
      <c r="G11" s="15"/>
      <c r="H11" s="25">
        <f>B11*1.67</f>
        <v>13.109499999999999</v>
      </c>
      <c r="I11" s="25">
        <f t="shared" ref="I11:L11" si="1">C11*1.67</f>
        <v>13.382885185185183</v>
      </c>
      <c r="J11" s="25">
        <f t="shared" si="1"/>
        <v>13.543699999999998</v>
      </c>
      <c r="K11" s="13">
        <f t="shared" si="1"/>
        <v>13.510299999999999</v>
      </c>
      <c r="L11" s="25">
        <f t="shared" si="1"/>
        <v>13.861000000000001</v>
      </c>
    </row>
    <row r="12" spans="1:18" x14ac:dyDescent="0.25">
      <c r="B12" s="15"/>
      <c r="C12" s="16"/>
      <c r="D12" s="15"/>
      <c r="E12" s="15"/>
      <c r="F12" s="16"/>
      <c r="G12" s="15"/>
      <c r="H12" s="25"/>
      <c r="I12" s="25"/>
      <c r="J12" s="25"/>
      <c r="K12" s="13"/>
      <c r="L12" s="25"/>
    </row>
    <row r="13" spans="1:18" x14ac:dyDescent="0.25">
      <c r="A13" s="14" t="s">
        <v>7</v>
      </c>
      <c r="B13" s="15">
        <v>11.52</v>
      </c>
      <c r="C13" s="16">
        <f>B13*$O$1+D13*(1-$O$1)</f>
        <v>12.092962962962963</v>
      </c>
      <c r="D13" s="15">
        <v>12.43</v>
      </c>
      <c r="E13" s="15">
        <v>11.9</v>
      </c>
      <c r="F13" s="16">
        <v>24.36</v>
      </c>
      <c r="G13" s="15"/>
      <c r="H13" s="25">
        <f>B13/2</f>
        <v>5.76</v>
      </c>
      <c r="I13" s="25">
        <f t="shared" ref="I13:L15" si="2">C13/2</f>
        <v>6.0464814814814813</v>
      </c>
      <c r="J13" s="25">
        <f t="shared" si="2"/>
        <v>6.2149999999999999</v>
      </c>
      <c r="K13" s="13">
        <f t="shared" si="2"/>
        <v>5.95</v>
      </c>
      <c r="L13" s="25">
        <f t="shared" si="2"/>
        <v>12.18</v>
      </c>
    </row>
    <row r="14" spans="1:18" x14ac:dyDescent="0.25">
      <c r="A14" s="14" t="s">
        <v>8</v>
      </c>
      <c r="B14" s="15">
        <v>12.2</v>
      </c>
      <c r="C14" s="16">
        <f>B14*$O$1+D14*(1-$O$1)</f>
        <v>12.011111111111111</v>
      </c>
      <c r="D14" s="15">
        <v>11.9</v>
      </c>
      <c r="E14" s="15">
        <v>12.22</v>
      </c>
      <c r="F14" s="16">
        <v>23.86</v>
      </c>
      <c r="G14" s="15"/>
      <c r="H14" s="25">
        <f t="shared" ref="H14:H15" si="3">B14/2</f>
        <v>6.1</v>
      </c>
      <c r="I14" s="25">
        <f t="shared" ref="I14:I15" si="4">C14/2</f>
        <v>6.0055555555555555</v>
      </c>
      <c r="J14" s="25">
        <f t="shared" ref="J14:J15" si="5">D14/2</f>
        <v>5.95</v>
      </c>
      <c r="K14" s="13">
        <f t="shared" ref="K14:K15" si="6">E14/2</f>
        <v>6.11</v>
      </c>
      <c r="L14" s="25">
        <f t="shared" si="2"/>
        <v>11.93</v>
      </c>
    </row>
    <row r="15" spans="1:18" x14ac:dyDescent="0.25">
      <c r="A15" s="14" t="s">
        <v>9</v>
      </c>
      <c r="B15" s="15">
        <v>0</v>
      </c>
      <c r="C15" s="16">
        <f>B15*$O$1+D15*(1-$O$1)</f>
        <v>0</v>
      </c>
      <c r="D15" s="15">
        <v>0</v>
      </c>
      <c r="E15" s="15">
        <v>0</v>
      </c>
      <c r="F15" s="16">
        <v>0.24</v>
      </c>
      <c r="G15" s="15"/>
      <c r="H15" s="25">
        <f t="shared" si="3"/>
        <v>0</v>
      </c>
      <c r="I15" s="25">
        <f t="shared" si="4"/>
        <v>0</v>
      </c>
      <c r="J15" s="25">
        <f t="shared" si="5"/>
        <v>0</v>
      </c>
      <c r="K15" s="13">
        <f t="shared" si="6"/>
        <v>0</v>
      </c>
      <c r="L15" s="25">
        <f t="shared" si="2"/>
        <v>0.12</v>
      </c>
    </row>
    <row r="16" spans="1:18" x14ac:dyDescent="0.25">
      <c r="B16" s="15"/>
      <c r="C16" s="16"/>
      <c r="D16" s="15"/>
      <c r="E16" s="15"/>
      <c r="F16" s="16"/>
      <c r="G16" s="15"/>
      <c r="H16" s="25"/>
      <c r="I16" s="25"/>
      <c r="J16" s="25"/>
      <c r="K16" s="13"/>
      <c r="L16" s="25"/>
    </row>
    <row r="17" spans="1:12" x14ac:dyDescent="0.25">
      <c r="A17" s="14" t="s">
        <v>10</v>
      </c>
      <c r="B17" s="15">
        <v>211.51</v>
      </c>
      <c r="C17" s="16">
        <f>B17*$O$1+D17*(1-$O$1)</f>
        <v>213.8837037037037</v>
      </c>
      <c r="D17" s="15">
        <v>215.28</v>
      </c>
      <c r="E17" s="15">
        <v>218.02</v>
      </c>
      <c r="F17" s="16">
        <v>202.8</v>
      </c>
      <c r="G17" s="15"/>
      <c r="H17" s="25">
        <f>B17</f>
        <v>211.51</v>
      </c>
      <c r="I17" s="25">
        <f>C17</f>
        <v>213.8837037037037</v>
      </c>
      <c r="J17" s="25">
        <f>D17</f>
        <v>215.28</v>
      </c>
      <c r="K17" s="13">
        <f>E17</f>
        <v>218.02</v>
      </c>
      <c r="L17" s="25">
        <f>F17</f>
        <v>202.8</v>
      </c>
    </row>
    <row r="18" spans="1:12" x14ac:dyDescent="0.25">
      <c r="A18" s="14" t="s">
        <v>11</v>
      </c>
      <c r="B18" s="15">
        <f>C18</f>
        <v>0</v>
      </c>
      <c r="C18" s="16">
        <f>D18</f>
        <v>0</v>
      </c>
      <c r="D18" s="15">
        <v>0</v>
      </c>
      <c r="E18" s="15">
        <f>D18</f>
        <v>0</v>
      </c>
      <c r="F18" s="16">
        <v>2</v>
      </c>
      <c r="G18" s="15"/>
      <c r="H18" s="25">
        <f>B18</f>
        <v>0</v>
      </c>
      <c r="I18" s="25">
        <f>C18</f>
        <v>0</v>
      </c>
      <c r="J18" s="25">
        <f>D18</f>
        <v>0</v>
      </c>
      <c r="K18" s="13">
        <f>E18</f>
        <v>0</v>
      </c>
      <c r="L18" s="25">
        <f>F18</f>
        <v>2</v>
      </c>
    </row>
    <row r="19" spans="1:12" x14ac:dyDescent="0.25">
      <c r="A19" s="14" t="s">
        <v>12</v>
      </c>
      <c r="B19" s="15">
        <f>B18</f>
        <v>0</v>
      </c>
      <c r="C19" s="16">
        <f>C18</f>
        <v>0</v>
      </c>
      <c r="D19" s="15">
        <f>D18</f>
        <v>0</v>
      </c>
      <c r="E19" s="15">
        <f>E18</f>
        <v>0</v>
      </c>
      <c r="F19" s="16">
        <v>29</v>
      </c>
      <c r="G19" s="15"/>
      <c r="H19" s="25">
        <f>B19</f>
        <v>0</v>
      </c>
      <c r="I19" s="25">
        <f>C19</f>
        <v>0</v>
      </c>
      <c r="J19" s="25">
        <f>D19</f>
        <v>0</v>
      </c>
      <c r="K19" s="13">
        <f>E19</f>
        <v>0</v>
      </c>
      <c r="L19" s="25">
        <f>F19</f>
        <v>29</v>
      </c>
    </row>
    <row r="20" spans="1:12" x14ac:dyDescent="0.25">
      <c r="A20" s="14" t="s">
        <v>13</v>
      </c>
      <c r="B20" s="15">
        <f>B19</f>
        <v>0</v>
      </c>
      <c r="C20" s="16">
        <f>C19</f>
        <v>0</v>
      </c>
      <c r="D20" s="15">
        <f>D19</f>
        <v>0</v>
      </c>
      <c r="E20" s="15">
        <f>E19</f>
        <v>0</v>
      </c>
      <c r="F20" s="16">
        <v>0</v>
      </c>
      <c r="G20" s="15"/>
      <c r="H20" s="25">
        <f>B20</f>
        <v>0</v>
      </c>
      <c r="I20" s="25">
        <f>C20</f>
        <v>0</v>
      </c>
      <c r="J20" s="25">
        <f>D20</f>
        <v>0</v>
      </c>
      <c r="K20" s="13">
        <f>E20</f>
        <v>0</v>
      </c>
      <c r="L20" s="25">
        <f>F20</f>
        <v>0</v>
      </c>
    </row>
    <row r="21" spans="1:12" x14ac:dyDescent="0.25">
      <c r="B21" s="15"/>
      <c r="C21" s="16"/>
      <c r="D21" s="15"/>
      <c r="E21" s="15"/>
      <c r="F21" s="16"/>
      <c r="G21" s="15"/>
      <c r="H21" s="25"/>
      <c r="I21" s="25"/>
      <c r="J21" s="25"/>
      <c r="K21" s="13"/>
      <c r="L21" s="25"/>
    </row>
    <row r="22" spans="1:12" x14ac:dyDescent="0.25">
      <c r="A22" s="14" t="s">
        <v>14</v>
      </c>
      <c r="B22" s="20">
        <v>110</v>
      </c>
      <c r="C22" s="21">
        <f>B22*$O$1+D22*(1-$O$1)</f>
        <v>128.25925925925927</v>
      </c>
      <c r="D22" s="20">
        <v>139</v>
      </c>
      <c r="E22" s="20">
        <v>146</v>
      </c>
      <c r="F22" s="21">
        <v>125</v>
      </c>
      <c r="G22" s="20"/>
      <c r="H22" s="10">
        <f>B22</f>
        <v>110</v>
      </c>
      <c r="I22" s="10">
        <f>C22</f>
        <v>128.25925925925927</v>
      </c>
      <c r="J22" s="10">
        <f>D22</f>
        <v>139</v>
      </c>
      <c r="K22" s="11">
        <f>E22</f>
        <v>146</v>
      </c>
      <c r="L22" s="10">
        <f>F22</f>
        <v>125</v>
      </c>
    </row>
    <row r="23" spans="1:12" x14ac:dyDescent="0.25">
      <c r="A23" s="14" t="s">
        <v>15</v>
      </c>
      <c r="B23" s="20">
        <v>0</v>
      </c>
      <c r="C23" s="21">
        <f>B23*$O$1+D23*(1-$O$1)</f>
        <v>0</v>
      </c>
      <c r="D23" s="20">
        <v>0</v>
      </c>
      <c r="E23" s="20">
        <v>0</v>
      </c>
      <c r="F23" s="21">
        <v>0</v>
      </c>
      <c r="G23" s="20"/>
      <c r="H23" s="10">
        <f>B23</f>
        <v>0</v>
      </c>
      <c r="I23" s="10">
        <f>C23</f>
        <v>0</v>
      </c>
      <c r="J23" s="10">
        <f>D23</f>
        <v>0</v>
      </c>
      <c r="K23" s="11">
        <f>E23</f>
        <v>0</v>
      </c>
      <c r="L23" s="10">
        <f>F23</f>
        <v>0</v>
      </c>
    </row>
    <row r="24" spans="1:12" x14ac:dyDescent="0.25">
      <c r="A24" s="14" t="s">
        <v>16</v>
      </c>
      <c r="B24" s="20">
        <v>17</v>
      </c>
      <c r="C24" s="21">
        <f>B24*$O$1+D24*(1-$O$1)</f>
        <v>7.5555555555555554</v>
      </c>
      <c r="D24" s="20">
        <v>2</v>
      </c>
      <c r="E24" s="20">
        <v>0</v>
      </c>
      <c r="F24" s="21">
        <v>5</v>
      </c>
      <c r="G24" s="20"/>
      <c r="H24" s="10">
        <f>B24</f>
        <v>17</v>
      </c>
      <c r="I24" s="10">
        <f>C24</f>
        <v>7.5555555555555554</v>
      </c>
      <c r="J24" s="10">
        <f>D24</f>
        <v>2</v>
      </c>
      <c r="K24" s="11">
        <f>E24</f>
        <v>0</v>
      </c>
      <c r="L24" s="10">
        <f>F24</f>
        <v>5</v>
      </c>
    </row>
    <row r="25" spans="1:12" x14ac:dyDescent="0.25">
      <c r="A25" s="14" t="s">
        <v>17</v>
      </c>
      <c r="B25" s="20">
        <v>108</v>
      </c>
      <c r="C25" s="21">
        <f>B25*$O$1+D25*(1-$O$1)</f>
        <v>126.25925925925927</v>
      </c>
      <c r="D25" s="20">
        <v>137</v>
      </c>
      <c r="E25" s="20">
        <v>146</v>
      </c>
      <c r="F25" s="21">
        <v>122</v>
      </c>
      <c r="G25" s="20"/>
      <c r="H25" s="10">
        <f>B25</f>
        <v>108</v>
      </c>
      <c r="I25" s="10">
        <f>C25</f>
        <v>126.25925925925927</v>
      </c>
      <c r="J25" s="10">
        <f>D25</f>
        <v>137</v>
      </c>
      <c r="K25" s="11">
        <f>E25</f>
        <v>146</v>
      </c>
      <c r="L25" s="10">
        <f>F25</f>
        <v>122</v>
      </c>
    </row>
    <row r="26" spans="1:12" x14ac:dyDescent="0.25">
      <c r="A26" s="14" t="s">
        <v>18</v>
      </c>
      <c r="B26" s="15">
        <v>0.11</v>
      </c>
      <c r="C26" s="16">
        <f>B26*$O$1+D26*(1-$O$1)</f>
        <v>0.127</v>
      </c>
      <c r="D26" s="15">
        <v>0.13700000000000001</v>
      </c>
      <c r="E26" s="15">
        <v>0.108</v>
      </c>
      <c r="F26" s="16">
        <v>7.3999999999999996E-2</v>
      </c>
      <c r="G26" s="15"/>
      <c r="H26" s="25">
        <f>B26</f>
        <v>0.11</v>
      </c>
      <c r="I26" s="25">
        <f>C26</f>
        <v>0.127</v>
      </c>
      <c r="J26" s="25">
        <f>D26</f>
        <v>0.13700000000000001</v>
      </c>
      <c r="K26" s="13">
        <f>E26</f>
        <v>0.108</v>
      </c>
      <c r="L26" s="25">
        <f>F26</f>
        <v>7.3999999999999996E-2</v>
      </c>
    </row>
    <row r="27" spans="1:12" x14ac:dyDescent="0.25">
      <c r="A27" s="14" t="s">
        <v>19</v>
      </c>
      <c r="B27" s="15">
        <v>0.40600000000000003</v>
      </c>
      <c r="C27" s="16">
        <f>B27*$O$1+D27*(1-$O$1)</f>
        <v>0.36192592592592598</v>
      </c>
      <c r="D27" s="15">
        <v>0.33600000000000002</v>
      </c>
      <c r="E27" s="15">
        <v>0.437</v>
      </c>
      <c r="F27" s="16">
        <v>0.59299999999999997</v>
      </c>
      <c r="G27" s="15"/>
      <c r="H27" s="25">
        <f>B27</f>
        <v>0.40600000000000003</v>
      </c>
      <c r="I27" s="25">
        <f>C27</f>
        <v>0.36192592592592598</v>
      </c>
      <c r="J27" s="25">
        <f>D27</f>
        <v>0.33600000000000002</v>
      </c>
      <c r="K27" s="13">
        <f>E27</f>
        <v>0.437</v>
      </c>
      <c r="L27" s="25">
        <f t="shared" ref="L27:L39" si="7">F27</f>
        <v>0.59299999999999997</v>
      </c>
    </row>
    <row r="28" spans="1:12" x14ac:dyDescent="0.25">
      <c r="A28" s="14" t="s">
        <v>20</v>
      </c>
      <c r="B28" s="15">
        <v>0.214</v>
      </c>
      <c r="C28" s="16">
        <f>B28*$O$1+D28*(1-$O$1)</f>
        <v>0.24988888888888891</v>
      </c>
      <c r="D28" s="15">
        <v>0.27100000000000002</v>
      </c>
      <c r="E28" s="15">
        <v>0.22600000000000001</v>
      </c>
      <c r="F28" s="16">
        <v>0.29799999999999999</v>
      </c>
      <c r="G28" s="15"/>
      <c r="H28" s="25">
        <f>B28</f>
        <v>0.214</v>
      </c>
      <c r="I28" s="25">
        <f>C28</f>
        <v>0.24988888888888891</v>
      </c>
      <c r="J28" s="25">
        <f>D28</f>
        <v>0.27100000000000002</v>
      </c>
      <c r="K28" s="13">
        <f>E28</f>
        <v>0.22600000000000001</v>
      </c>
      <c r="L28" s="25">
        <f t="shared" si="7"/>
        <v>0.29799999999999999</v>
      </c>
    </row>
    <row r="29" spans="1:12" x14ac:dyDescent="0.25">
      <c r="A29" s="14" t="s">
        <v>21</v>
      </c>
      <c r="B29" s="15">
        <v>0.89500000000000002</v>
      </c>
      <c r="C29" s="16">
        <f>B29*$O$1+D29*(1-$O$1)</f>
        <v>0.88400700700700707</v>
      </c>
      <c r="D29" s="15">
        <f>$R$1*B29+((1-$R$1)*E29)</f>
        <v>0.87754054054054054</v>
      </c>
      <c r="E29" s="15">
        <v>0.85699999999999998</v>
      </c>
      <c r="F29" s="16">
        <f>D29</f>
        <v>0.87754054054054054</v>
      </c>
      <c r="G29" s="15"/>
      <c r="H29" s="25">
        <f>B29</f>
        <v>0.89500000000000002</v>
      </c>
      <c r="I29" s="25">
        <f>C29</f>
        <v>0.88400700700700707</v>
      </c>
      <c r="J29" s="25">
        <f>D29</f>
        <v>0.87754054054054054</v>
      </c>
      <c r="K29" s="13">
        <f>E29</f>
        <v>0.85699999999999998</v>
      </c>
      <c r="L29" s="25">
        <f t="shared" si="7"/>
        <v>0.87754054054054054</v>
      </c>
    </row>
    <row r="30" spans="1:12" x14ac:dyDescent="0.25">
      <c r="A30" s="14" t="s">
        <v>22</v>
      </c>
      <c r="B30" s="15">
        <v>8.5999999999999993E-2</v>
      </c>
      <c r="C30" s="16">
        <f>B30*$O$1+D30*(1-$O$1)</f>
        <v>0.1225185185185185</v>
      </c>
      <c r="D30" s="15">
        <v>0.14399999999999999</v>
      </c>
      <c r="E30" s="15">
        <v>8.8999999999999996E-2</v>
      </c>
      <c r="F30" s="16">
        <v>0.113</v>
      </c>
      <c r="G30" s="15"/>
      <c r="H30" s="25">
        <f>B30</f>
        <v>8.5999999999999993E-2</v>
      </c>
      <c r="I30" s="25">
        <f>C30</f>
        <v>0.1225185185185185</v>
      </c>
      <c r="J30" s="25">
        <f>D30</f>
        <v>0.14399999999999999</v>
      </c>
      <c r="K30" s="13">
        <f>E30</f>
        <v>8.8999999999999996E-2</v>
      </c>
      <c r="L30" s="25">
        <f t="shared" si="7"/>
        <v>0.113</v>
      </c>
    </row>
    <row r="31" spans="1:12" x14ac:dyDescent="0.25">
      <c r="A31" s="14" t="s">
        <v>23</v>
      </c>
      <c r="B31" s="15">
        <v>0</v>
      </c>
      <c r="C31" s="16">
        <f>B31*$O$1+D31*(1-$O$1)</f>
        <v>0</v>
      </c>
      <c r="D31" s="15">
        <v>0</v>
      </c>
      <c r="E31" s="15">
        <v>0</v>
      </c>
      <c r="F31" s="16">
        <v>0</v>
      </c>
      <c r="G31" s="15"/>
      <c r="H31" s="25">
        <f>B31</f>
        <v>0</v>
      </c>
      <c r="I31" s="25">
        <f>C31</f>
        <v>0</v>
      </c>
      <c r="J31" s="25">
        <f>D31</f>
        <v>0</v>
      </c>
      <c r="K31" s="13">
        <f>E31</f>
        <v>0</v>
      </c>
      <c r="L31" s="25">
        <f t="shared" si="7"/>
        <v>0</v>
      </c>
    </row>
    <row r="32" spans="1:12" x14ac:dyDescent="0.25">
      <c r="A32" s="14" t="s">
        <v>24</v>
      </c>
      <c r="B32" s="15">
        <v>12</v>
      </c>
      <c r="C32" s="16">
        <f>B32*$O$1+D32*(1-$O$1)</f>
        <v>7.5925925925925934</v>
      </c>
      <c r="D32" s="15">
        <v>5</v>
      </c>
      <c r="E32" s="15">
        <v>12</v>
      </c>
      <c r="F32" s="16">
        <v>7</v>
      </c>
      <c r="G32" s="15"/>
      <c r="H32" s="25">
        <f>B32</f>
        <v>12</v>
      </c>
      <c r="I32" s="25">
        <f>C32</f>
        <v>7.5925925925925934</v>
      </c>
      <c r="J32" s="25">
        <f>D32</f>
        <v>5</v>
      </c>
      <c r="K32" s="13">
        <f>E32</f>
        <v>12</v>
      </c>
      <c r="L32" s="25">
        <f t="shared" si="7"/>
        <v>7</v>
      </c>
    </row>
    <row r="33" spans="1:12" x14ac:dyDescent="0.25">
      <c r="A33" s="14" t="s">
        <v>25</v>
      </c>
      <c r="B33" s="15">
        <v>1.08</v>
      </c>
      <c r="C33" s="16">
        <f>B33*$O$1+D33*(1-$O$1)</f>
        <v>1.3192592592592591</v>
      </c>
      <c r="D33" s="15">
        <v>1.46</v>
      </c>
      <c r="E33" s="15">
        <v>1.2</v>
      </c>
      <c r="F33" s="16">
        <v>0.55000000000000004</v>
      </c>
      <c r="G33" s="15"/>
      <c r="H33" s="25">
        <f>B33</f>
        <v>1.08</v>
      </c>
      <c r="I33" s="25">
        <f>C33</f>
        <v>1.3192592592592591</v>
      </c>
      <c r="J33" s="25">
        <f>D33</f>
        <v>1.46</v>
      </c>
      <c r="K33" s="13">
        <f>E33</f>
        <v>1.2</v>
      </c>
      <c r="L33" s="25">
        <f t="shared" si="7"/>
        <v>0.55000000000000004</v>
      </c>
    </row>
    <row r="34" spans="1:12" x14ac:dyDescent="0.25">
      <c r="A34" s="14" t="s">
        <v>26</v>
      </c>
      <c r="B34" s="15">
        <v>0</v>
      </c>
      <c r="C34" s="16">
        <f>B34*$O$1+D34*(1-$O$1)</f>
        <v>0</v>
      </c>
      <c r="D34" s="15">
        <v>0</v>
      </c>
      <c r="E34" s="15">
        <v>0</v>
      </c>
      <c r="F34" s="16">
        <v>1</v>
      </c>
      <c r="G34" s="15"/>
      <c r="H34" s="25">
        <f>B34</f>
        <v>0</v>
      </c>
      <c r="I34" s="25">
        <f>C34</f>
        <v>0</v>
      </c>
      <c r="J34" s="25">
        <f>D34</f>
        <v>0</v>
      </c>
      <c r="K34" s="13">
        <f>E34</f>
        <v>0</v>
      </c>
      <c r="L34" s="25">
        <f t="shared" si="7"/>
        <v>1</v>
      </c>
    </row>
    <row r="35" spans="1:12" x14ac:dyDescent="0.25">
      <c r="A35" s="14" t="s">
        <v>27</v>
      </c>
      <c r="B35" s="15">
        <v>3.1</v>
      </c>
      <c r="C35" s="16">
        <f>B35*$O$1+D35*(1-$O$1)</f>
        <v>2.7851851851851852</v>
      </c>
      <c r="D35" s="15">
        <v>2.6</v>
      </c>
      <c r="E35" s="15">
        <v>2.9</v>
      </c>
      <c r="F35" s="16">
        <v>2.6</v>
      </c>
      <c r="G35" s="15"/>
      <c r="H35" s="25">
        <f>B35</f>
        <v>3.1</v>
      </c>
      <c r="I35" s="25">
        <f>C35</f>
        <v>2.7851851851851852</v>
      </c>
      <c r="J35" s="25">
        <f>D35</f>
        <v>2.6</v>
      </c>
      <c r="K35" s="13">
        <f>E35</f>
        <v>2.9</v>
      </c>
      <c r="L35" s="25">
        <f t="shared" si="7"/>
        <v>2.6</v>
      </c>
    </row>
    <row r="36" spans="1:12" x14ac:dyDescent="0.25">
      <c r="A36" s="14" t="s">
        <v>28</v>
      </c>
      <c r="B36" s="15">
        <v>1.7000000000000001E-2</v>
      </c>
      <c r="C36" s="16">
        <f>B36*$O$1+D36*(1-$O$1)</f>
        <v>3.7777777777777785E-2</v>
      </c>
      <c r="D36" s="15">
        <v>0.05</v>
      </c>
      <c r="E36" s="15">
        <v>0.02</v>
      </c>
      <c r="F36" s="16">
        <v>0</v>
      </c>
      <c r="G36" s="15"/>
      <c r="H36" s="25">
        <f>B36</f>
        <v>1.7000000000000001E-2</v>
      </c>
      <c r="I36" s="25">
        <f>C36</f>
        <v>3.7777777777777785E-2</v>
      </c>
      <c r="J36" s="25">
        <f>D36</f>
        <v>0.05</v>
      </c>
      <c r="K36" s="13">
        <f>E36</f>
        <v>0.02</v>
      </c>
      <c r="L36" s="25">
        <f t="shared" si="7"/>
        <v>0</v>
      </c>
    </row>
    <row r="37" spans="1:12" x14ac:dyDescent="0.25">
      <c r="A37" s="14" t="s">
        <v>29</v>
      </c>
      <c r="B37" s="15">
        <v>3.1</v>
      </c>
      <c r="C37" s="16">
        <f>B37*$O$1+D37*(1-$O$1)</f>
        <v>1.2740740740740741</v>
      </c>
      <c r="D37" s="15">
        <v>0.2</v>
      </c>
      <c r="E37" s="15">
        <v>0</v>
      </c>
      <c r="F37" s="16">
        <v>0.2</v>
      </c>
      <c r="G37" s="15"/>
      <c r="H37" s="25">
        <f>B37</f>
        <v>3.1</v>
      </c>
      <c r="I37" s="25">
        <f>C37</f>
        <v>1.2740740740740741</v>
      </c>
      <c r="J37" s="25">
        <f>D37</f>
        <v>0.2</v>
      </c>
      <c r="K37" s="13">
        <f>E37</f>
        <v>0</v>
      </c>
      <c r="L37" s="25">
        <f t="shared" si="7"/>
        <v>0.2</v>
      </c>
    </row>
    <row r="38" spans="1:12" x14ac:dyDescent="0.25">
      <c r="A38" s="14" t="s">
        <v>30</v>
      </c>
      <c r="B38" s="15">
        <v>1.4</v>
      </c>
      <c r="C38" s="16">
        <f>B38*$O$1+D38*(1-$O$1)</f>
        <v>2.3257257257257256</v>
      </c>
      <c r="D38" s="15">
        <f>$R$1*B38+((1-$R$1)*E38)</f>
        <v>2.8702702702702703</v>
      </c>
      <c r="E38" s="15">
        <v>4.5999999999999996</v>
      </c>
      <c r="F38" s="16">
        <f>D38</f>
        <v>2.8702702702702703</v>
      </c>
      <c r="G38" s="15"/>
      <c r="H38" s="25">
        <f>B38</f>
        <v>1.4</v>
      </c>
      <c r="I38" s="25">
        <f>C38</f>
        <v>2.3257257257257256</v>
      </c>
      <c r="J38" s="25">
        <f>D38</f>
        <v>2.8702702702702703</v>
      </c>
      <c r="K38" s="13">
        <f>E38</f>
        <v>4.5999999999999996</v>
      </c>
      <c r="L38" s="25">
        <f t="shared" si="7"/>
        <v>2.8702702702702703</v>
      </c>
    </row>
    <row r="39" spans="1:12" x14ac:dyDescent="0.25">
      <c r="A39" s="14" t="s">
        <v>31</v>
      </c>
      <c r="B39" s="15">
        <v>34.299999999999997</v>
      </c>
      <c r="C39" s="16">
        <f>B39*$O$1+D39*(1-$O$1)</f>
        <v>39.022222222222219</v>
      </c>
      <c r="D39" s="15">
        <v>41.8</v>
      </c>
      <c r="E39" s="15">
        <v>37.4</v>
      </c>
      <c r="F39" s="16">
        <v>40.799999999999997</v>
      </c>
      <c r="G39" s="15"/>
      <c r="H39" s="25">
        <f>B39</f>
        <v>34.299999999999997</v>
      </c>
      <c r="I39" s="25">
        <f>C39</f>
        <v>39.022222222222219</v>
      </c>
      <c r="J39" s="25">
        <f>D39</f>
        <v>41.8</v>
      </c>
      <c r="K39" s="13">
        <f>E39</f>
        <v>37.4</v>
      </c>
      <c r="L39" s="25">
        <f t="shared" si="7"/>
        <v>40.799999999999997</v>
      </c>
    </row>
    <row r="40" spans="1:12" x14ac:dyDescent="0.25">
      <c r="B40" s="15"/>
      <c r="C40" s="16"/>
      <c r="D40" s="15"/>
      <c r="E40" s="15"/>
      <c r="F40" s="16"/>
      <c r="G40" s="15"/>
      <c r="H40" s="26"/>
      <c r="I40" s="26"/>
      <c r="J40" s="26"/>
      <c r="K40" s="9"/>
      <c r="L40" s="26"/>
    </row>
    <row r="41" spans="1:12" x14ac:dyDescent="0.25">
      <c r="A41" s="14" t="s">
        <v>32</v>
      </c>
      <c r="B41" s="15">
        <v>271</v>
      </c>
      <c r="C41" s="16">
        <f>B41*$O$1+D41*(1-$O$1)</f>
        <v>290.51851851851853</v>
      </c>
      <c r="D41" s="15">
        <v>302</v>
      </c>
      <c r="E41" s="15">
        <v>293</v>
      </c>
      <c r="F41" s="16">
        <v>310</v>
      </c>
      <c r="G41" s="15"/>
      <c r="H41" s="25">
        <f>B41</f>
        <v>271</v>
      </c>
      <c r="I41" s="25">
        <f>C41</f>
        <v>290.51851851851853</v>
      </c>
      <c r="J41" s="25">
        <f>D41</f>
        <v>302</v>
      </c>
      <c r="K41" s="13">
        <f>E41</f>
        <v>293</v>
      </c>
      <c r="L41" s="25">
        <f>F41</f>
        <v>310</v>
      </c>
    </row>
    <row r="42" spans="1:12" x14ac:dyDescent="0.25">
      <c r="A42" s="14" t="s">
        <v>33</v>
      </c>
      <c r="B42" s="15">
        <v>0.06</v>
      </c>
      <c r="C42" s="16">
        <f>B42*$O$1+D42*(1-$O$1)</f>
        <v>2.222222222222222E-2</v>
      </c>
      <c r="D42" s="15">
        <v>0</v>
      </c>
      <c r="E42" s="15">
        <v>0.03</v>
      </c>
      <c r="F42" s="16">
        <v>7.0000000000000007E-2</v>
      </c>
      <c r="G42" s="15"/>
      <c r="H42" s="25">
        <f>B42</f>
        <v>0.06</v>
      </c>
      <c r="I42" s="25">
        <f>C42</f>
        <v>2.222222222222222E-2</v>
      </c>
      <c r="J42" s="25">
        <f>D42</f>
        <v>0</v>
      </c>
      <c r="K42" s="13">
        <f>E42</f>
        <v>0.03</v>
      </c>
      <c r="L42" s="25">
        <f t="shared" ref="L42:L52" si="8">F42</f>
        <v>7.0000000000000007E-2</v>
      </c>
    </row>
    <row r="43" spans="1:12" x14ac:dyDescent="0.25">
      <c r="A43" s="14" t="s">
        <v>34</v>
      </c>
      <c r="B43" s="15">
        <v>0</v>
      </c>
      <c r="C43" s="16">
        <f>B43*$O$1+D43*(1-$O$1)</f>
        <v>0</v>
      </c>
      <c r="D43" s="15">
        <v>0</v>
      </c>
      <c r="E43" s="15">
        <v>7.4</v>
      </c>
      <c r="F43" s="16">
        <v>0</v>
      </c>
      <c r="G43" s="15"/>
      <c r="H43" s="25">
        <f>B43</f>
        <v>0</v>
      </c>
      <c r="I43" s="25">
        <f>C43</f>
        <v>0</v>
      </c>
      <c r="J43" s="25">
        <f>D43</f>
        <v>0</v>
      </c>
      <c r="K43" s="13">
        <f>E43</f>
        <v>7.4</v>
      </c>
      <c r="L43" s="25">
        <f t="shared" si="8"/>
        <v>0</v>
      </c>
    </row>
    <row r="44" spans="1:12" x14ac:dyDescent="0.25">
      <c r="A44" s="14" t="s">
        <v>35</v>
      </c>
      <c r="B44" s="15">
        <v>0</v>
      </c>
      <c r="C44" s="16">
        <f>B44*$O$1+D44*(1-$O$1)</f>
        <v>0</v>
      </c>
      <c r="D44" s="15">
        <v>0</v>
      </c>
      <c r="E44" s="15">
        <v>0</v>
      </c>
      <c r="F44" s="16">
        <v>0</v>
      </c>
      <c r="G44" s="15"/>
      <c r="H44" s="25">
        <f>B44</f>
        <v>0</v>
      </c>
      <c r="I44" s="25">
        <f>C44</f>
        <v>0</v>
      </c>
      <c r="J44" s="25">
        <f>D44</f>
        <v>0</v>
      </c>
      <c r="K44" s="13">
        <f>E44</f>
        <v>0</v>
      </c>
      <c r="L44" s="25">
        <f t="shared" si="8"/>
        <v>0</v>
      </c>
    </row>
    <row r="45" spans="1:12" x14ac:dyDescent="0.25">
      <c r="A45" s="14" t="s">
        <v>36</v>
      </c>
      <c r="B45" s="15">
        <v>7.0000000000000007E-2</v>
      </c>
      <c r="C45" s="16">
        <f>B45*$O$1+D45*(1-$O$1)</f>
        <v>7.0000000000000007E-2</v>
      </c>
      <c r="D45" s="15">
        <f>$R$1*B45+((1-$R$1)*E45)</f>
        <v>7.0000000000000007E-2</v>
      </c>
      <c r="E45" s="15">
        <v>7.0000000000000007E-2</v>
      </c>
      <c r="F45" s="16">
        <v>0.55000000000000004</v>
      </c>
      <c r="G45" s="15"/>
      <c r="H45" s="25">
        <f>B45</f>
        <v>7.0000000000000007E-2</v>
      </c>
      <c r="I45" s="25">
        <f>C45</f>
        <v>7.0000000000000007E-2</v>
      </c>
      <c r="J45" s="25">
        <f>D45</f>
        <v>7.0000000000000007E-2</v>
      </c>
      <c r="K45" s="13">
        <f>E45</f>
        <v>7.0000000000000007E-2</v>
      </c>
      <c r="L45" s="25">
        <f t="shared" si="8"/>
        <v>0.55000000000000004</v>
      </c>
    </row>
    <row r="46" spans="1:12" x14ac:dyDescent="0.25">
      <c r="A46" s="14" t="s">
        <v>37</v>
      </c>
      <c r="B46" s="15">
        <v>24</v>
      </c>
      <c r="C46" s="16">
        <f>B46*$O$1+D46*(1-$O$1)</f>
        <v>27.148148148148149</v>
      </c>
      <c r="D46" s="15">
        <v>29</v>
      </c>
      <c r="E46" s="15">
        <v>26</v>
      </c>
      <c r="F46" s="16">
        <v>31</v>
      </c>
      <c r="G46" s="15"/>
      <c r="H46" s="25">
        <f>B46</f>
        <v>24</v>
      </c>
      <c r="I46" s="25">
        <f>C46</f>
        <v>27.148148148148149</v>
      </c>
      <c r="J46" s="25">
        <f>D46</f>
        <v>29</v>
      </c>
      <c r="K46" s="13">
        <f>E46</f>
        <v>26</v>
      </c>
      <c r="L46" s="25">
        <f t="shared" si="8"/>
        <v>31</v>
      </c>
    </row>
    <row r="47" spans="1:12" x14ac:dyDescent="0.25">
      <c r="A47" s="14" t="s">
        <v>38</v>
      </c>
      <c r="B47" s="15">
        <v>0.01</v>
      </c>
      <c r="C47" s="16">
        <f>B47*$O$1+D47*(1-$O$1)</f>
        <v>9.1321321321321328E-3</v>
      </c>
      <c r="D47" s="15">
        <f>$R$1*B47+((1-$R$1)*E47)</f>
        <v>8.6216216216216217E-3</v>
      </c>
      <c r="E47" s="15">
        <v>7.0000000000000001E-3</v>
      </c>
      <c r="F47" s="16">
        <f>D47</f>
        <v>8.6216216216216217E-3</v>
      </c>
      <c r="G47" s="15"/>
      <c r="H47" s="25">
        <f>B47</f>
        <v>0.01</v>
      </c>
      <c r="I47" s="25">
        <f>C47</f>
        <v>9.1321321321321328E-3</v>
      </c>
      <c r="J47" s="25">
        <f>D47</f>
        <v>8.6216216216216217E-3</v>
      </c>
      <c r="K47" s="13">
        <f>E47</f>
        <v>7.0000000000000001E-3</v>
      </c>
      <c r="L47" s="25">
        <f t="shared" si="8"/>
        <v>8.6216216216216217E-3</v>
      </c>
    </row>
    <row r="48" spans="1:12" x14ac:dyDescent="0.25">
      <c r="A48" s="14" t="s">
        <v>39</v>
      </c>
      <c r="B48" s="15">
        <v>202</v>
      </c>
      <c r="C48" s="16">
        <f>B48*$O$1+D48*(1-$O$1)</f>
        <v>230.33333333333334</v>
      </c>
      <c r="D48" s="15">
        <v>247</v>
      </c>
      <c r="E48" s="15">
        <v>242</v>
      </c>
      <c r="F48" s="16">
        <v>230</v>
      </c>
      <c r="G48" s="15"/>
      <c r="H48" s="25">
        <f>B48</f>
        <v>202</v>
      </c>
      <c r="I48" s="25">
        <f>C48</f>
        <v>230.33333333333334</v>
      </c>
      <c r="J48" s="25">
        <f>D48</f>
        <v>247</v>
      </c>
      <c r="K48" s="13">
        <f>E48</f>
        <v>242</v>
      </c>
      <c r="L48" s="25">
        <f t="shared" si="8"/>
        <v>230</v>
      </c>
    </row>
    <row r="49" spans="1:12" x14ac:dyDescent="0.25">
      <c r="A49" s="14" t="s">
        <v>40</v>
      </c>
      <c r="B49" s="15">
        <v>317</v>
      </c>
      <c r="C49" s="16">
        <f>B49*$O$1+D49*(1-$O$1)</f>
        <v>357.92592592592592</v>
      </c>
      <c r="D49" s="15">
        <v>382</v>
      </c>
      <c r="E49" s="15">
        <v>374</v>
      </c>
      <c r="F49" s="16">
        <v>413</v>
      </c>
      <c r="G49" s="15"/>
      <c r="H49" s="25">
        <f>B49</f>
        <v>317</v>
      </c>
      <c r="I49" s="25">
        <f>C49</f>
        <v>357.92592592592592</v>
      </c>
      <c r="J49" s="25">
        <f>D49</f>
        <v>382</v>
      </c>
      <c r="K49" s="13">
        <f>E49</f>
        <v>374</v>
      </c>
      <c r="L49" s="25">
        <f t="shared" si="8"/>
        <v>413</v>
      </c>
    </row>
    <row r="50" spans="1:12" x14ac:dyDescent="0.25">
      <c r="A50" s="14" t="s">
        <v>41</v>
      </c>
      <c r="B50" s="15">
        <v>8.8800000000000008</v>
      </c>
      <c r="C50" s="16">
        <f>B50*$O$1+D50*(1-$O$1)</f>
        <v>6.4622222222222225</v>
      </c>
      <c r="D50" s="15">
        <v>5.04</v>
      </c>
      <c r="E50" s="15">
        <v>7.44</v>
      </c>
      <c r="F50" s="16">
        <v>4.5599999999999996</v>
      </c>
      <c r="G50" s="15"/>
      <c r="H50" s="25">
        <f>B50</f>
        <v>8.8800000000000008</v>
      </c>
      <c r="I50" s="25">
        <f>C50</f>
        <v>6.4622222222222225</v>
      </c>
      <c r="J50" s="25">
        <f>D50</f>
        <v>5.04</v>
      </c>
      <c r="K50" s="13">
        <f>E50</f>
        <v>7.44</v>
      </c>
      <c r="L50" s="25">
        <f t="shared" si="8"/>
        <v>4.5599999999999996</v>
      </c>
    </row>
    <row r="51" spans="1:12" x14ac:dyDescent="0.25">
      <c r="A51" s="14" t="s">
        <v>42</v>
      </c>
      <c r="B51" s="15">
        <v>103</v>
      </c>
      <c r="C51" s="16">
        <f>B51*$O$1+D51*(1-$O$1)</f>
        <v>97.333333333333343</v>
      </c>
      <c r="D51" s="15">
        <v>94</v>
      </c>
      <c r="E51" s="15">
        <v>101</v>
      </c>
      <c r="F51" s="16">
        <v>156</v>
      </c>
      <c r="G51" s="15"/>
      <c r="H51" s="25">
        <f>B51</f>
        <v>103</v>
      </c>
      <c r="I51" s="25">
        <f>C51</f>
        <v>97.333333333333343</v>
      </c>
      <c r="J51" s="25">
        <f>D51</f>
        <v>94</v>
      </c>
      <c r="K51" s="13">
        <f>E51</f>
        <v>101</v>
      </c>
      <c r="L51" s="25">
        <f t="shared" si="8"/>
        <v>156</v>
      </c>
    </row>
    <row r="52" spans="1:12" x14ac:dyDescent="0.25">
      <c r="A52" s="14" t="s">
        <v>43</v>
      </c>
      <c r="B52" s="15">
        <v>0.89</v>
      </c>
      <c r="C52" s="16">
        <f>B52*$O$1+D52*(1-$O$1)</f>
        <v>0.97814814814814821</v>
      </c>
      <c r="D52" s="15">
        <v>1.03</v>
      </c>
      <c r="E52" s="15">
        <v>1.01</v>
      </c>
      <c r="F52" s="16">
        <v>1.03</v>
      </c>
      <c r="G52" s="15"/>
      <c r="H52" s="25">
        <f>B52</f>
        <v>0.89</v>
      </c>
      <c r="I52" s="25">
        <f>C52</f>
        <v>0.97814814814814821</v>
      </c>
      <c r="J52" s="25">
        <f>D52</f>
        <v>1.03</v>
      </c>
      <c r="K52" s="13">
        <f>E52</f>
        <v>1.01</v>
      </c>
      <c r="L52" s="25">
        <f t="shared" si="8"/>
        <v>1.03</v>
      </c>
    </row>
    <row r="53" spans="1:12" x14ac:dyDescent="0.25">
      <c r="B53" s="15"/>
      <c r="C53" s="16"/>
      <c r="D53" s="15"/>
      <c r="E53" s="15"/>
      <c r="F53" s="16"/>
      <c r="G53" s="15"/>
      <c r="H53" s="26"/>
      <c r="I53" s="26"/>
      <c r="J53" s="26"/>
      <c r="K53" s="9"/>
      <c r="L53" s="26"/>
    </row>
    <row r="54" spans="1:12" x14ac:dyDescent="0.25">
      <c r="A54" s="14" t="s">
        <v>44</v>
      </c>
      <c r="B54" s="15">
        <v>0.25700000000000001</v>
      </c>
      <c r="C54" s="16">
        <f>B54*$O$1+D54*(1-$O$1)</f>
        <v>0.26191791791791791</v>
      </c>
      <c r="D54" s="15">
        <f>$R$1*B54+((1-$R$1)*E54)</f>
        <v>0.26481081081081081</v>
      </c>
      <c r="E54" s="15">
        <v>0.27400000000000002</v>
      </c>
      <c r="F54" s="16">
        <f>D54*($F$11/$D$11)</f>
        <v>0.27101476322191498</v>
      </c>
      <c r="G54" s="15"/>
      <c r="H54" s="25">
        <f>B54*1.67</f>
        <v>0.42919000000000002</v>
      </c>
      <c r="I54" s="25">
        <f t="shared" ref="I54:L69" si="9">C54*1.67</f>
        <v>0.43740292292292288</v>
      </c>
      <c r="J54" s="25">
        <f t="shared" si="9"/>
        <v>0.44223405405405403</v>
      </c>
      <c r="K54" s="13">
        <f t="shared" si="9"/>
        <v>0.45758000000000004</v>
      </c>
      <c r="L54" s="25">
        <f t="shared" si="9"/>
        <v>0.452594654580598</v>
      </c>
    </row>
    <row r="55" spans="1:12" x14ac:dyDescent="0.25">
      <c r="A55" s="14" t="s">
        <v>45</v>
      </c>
      <c r="B55" s="15">
        <v>0.216</v>
      </c>
      <c r="C55" s="16">
        <f>B55*$O$1+D55*(1-$O$1)</f>
        <v>0.22005005005005004</v>
      </c>
      <c r="D55" s="15">
        <f>$R$1*B55+((1-$R$1)*E55)</f>
        <v>0.22243243243243244</v>
      </c>
      <c r="E55" s="15">
        <v>0.23</v>
      </c>
      <c r="F55" s="16">
        <f t="shared" ref="F55:F73" si="10">D55*($F$11/$D$11)</f>
        <v>0.2276435498383711</v>
      </c>
      <c r="G55" s="15"/>
      <c r="H55" s="25">
        <f t="shared" ref="H55:H73" si="11">B55*1.67</f>
        <v>0.36071999999999999</v>
      </c>
      <c r="I55" s="25">
        <f t="shared" ref="I55:I73" si="12">C55*1.67</f>
        <v>0.36748358358358357</v>
      </c>
      <c r="J55" s="25">
        <f t="shared" ref="J55:J73" si="13">D55*1.67</f>
        <v>0.37146216216216216</v>
      </c>
      <c r="K55" s="13">
        <f t="shared" ref="K55:L73" si="14">E55*1.67</f>
        <v>0.3841</v>
      </c>
      <c r="L55" s="25">
        <f t="shared" si="9"/>
        <v>0.38016472823007974</v>
      </c>
    </row>
    <row r="56" spans="1:12" x14ac:dyDescent="0.25">
      <c r="A56" s="14" t="s">
        <v>46</v>
      </c>
      <c r="B56" s="15">
        <v>0.64800000000000002</v>
      </c>
      <c r="C56" s="16">
        <f>B56*$O$1+D56*(1-$O$1)</f>
        <v>0.6604394394394395</v>
      </c>
      <c r="D56" s="15">
        <f>$R$1*B56+((1-$R$1)*E56)</f>
        <v>0.66775675675675683</v>
      </c>
      <c r="E56" s="15">
        <v>0.69099999999999995</v>
      </c>
      <c r="F56" s="16">
        <f t="shared" si="10"/>
        <v>0.68340087312960329</v>
      </c>
      <c r="G56" s="15"/>
      <c r="H56" s="25">
        <f t="shared" si="11"/>
        <v>1.08216</v>
      </c>
      <c r="I56" s="25">
        <f t="shared" si="12"/>
        <v>1.1029338638638639</v>
      </c>
      <c r="J56" s="25">
        <f t="shared" si="13"/>
        <v>1.1151537837837839</v>
      </c>
      <c r="K56" s="13">
        <f t="shared" si="14"/>
        <v>1.1539699999999999</v>
      </c>
      <c r="L56" s="25">
        <f t="shared" si="9"/>
        <v>1.1412794581264374</v>
      </c>
    </row>
    <row r="57" spans="1:12" x14ac:dyDescent="0.25">
      <c r="A57" s="14" t="s">
        <v>47</v>
      </c>
      <c r="B57" s="15">
        <v>4.5999999999999999E-2</v>
      </c>
      <c r="C57" s="16">
        <f>B57*$O$1+D57*(1-$O$1)</f>
        <v>4.7157157157157154E-2</v>
      </c>
      <c r="D57" s="15">
        <f>$R$1*B57+((1-$R$1)*E57)</f>
        <v>4.7837837837837835E-2</v>
      </c>
      <c r="E57" s="15">
        <v>0.05</v>
      </c>
      <c r="F57" s="16">
        <f t="shared" si="10"/>
        <v>4.8958576332189162E-2</v>
      </c>
      <c r="G57" s="15"/>
      <c r="H57" s="25">
        <f t="shared" si="11"/>
        <v>7.6819999999999999E-2</v>
      </c>
      <c r="I57" s="25">
        <f t="shared" si="12"/>
        <v>7.8752452452452437E-2</v>
      </c>
      <c r="J57" s="25">
        <f t="shared" si="13"/>
        <v>7.9889189189189178E-2</v>
      </c>
      <c r="K57" s="13">
        <f t="shared" si="14"/>
        <v>8.3500000000000005E-2</v>
      </c>
      <c r="L57" s="25">
        <f t="shared" si="9"/>
        <v>8.1760822474755898E-2</v>
      </c>
    </row>
    <row r="58" spans="1:12" x14ac:dyDescent="0.25">
      <c r="A58" s="14" t="s">
        <v>48</v>
      </c>
      <c r="B58" s="15">
        <f>B57</f>
        <v>4.5999999999999999E-2</v>
      </c>
      <c r="C58" s="16">
        <f>C57</f>
        <v>4.7157157157157154E-2</v>
      </c>
      <c r="D58" s="15">
        <f>D57</f>
        <v>4.7837837837837835E-2</v>
      </c>
      <c r="E58" s="15">
        <f>E57</f>
        <v>0.05</v>
      </c>
      <c r="F58" s="16">
        <f t="shared" si="10"/>
        <v>4.8958576332189162E-2</v>
      </c>
      <c r="G58" s="15"/>
      <c r="H58" s="25">
        <f t="shared" si="11"/>
        <v>7.6819999999999999E-2</v>
      </c>
      <c r="I58" s="25">
        <f t="shared" si="12"/>
        <v>7.8752452452452437E-2</v>
      </c>
      <c r="J58" s="25">
        <f t="shared" si="13"/>
        <v>7.9889189189189178E-2</v>
      </c>
      <c r="K58" s="13">
        <f t="shared" si="14"/>
        <v>8.3500000000000005E-2</v>
      </c>
      <c r="L58" s="25">
        <f t="shared" si="9"/>
        <v>8.1760822474755898E-2</v>
      </c>
    </row>
    <row r="59" spans="1:12" x14ac:dyDescent="0.25">
      <c r="A59" s="14" t="s">
        <v>49</v>
      </c>
      <c r="B59" s="15">
        <v>1.6990000000000001</v>
      </c>
      <c r="C59" s="16">
        <f>B59*$O$1+D59*(1-$O$1)</f>
        <v>1.7331361361361362</v>
      </c>
      <c r="D59" s="15">
        <f>$R$1*B59+((1-$R$1)*E59)</f>
        <v>1.7532162162162162</v>
      </c>
      <c r="E59" s="15">
        <v>1.8169999999999999</v>
      </c>
      <c r="F59" s="16">
        <f t="shared" si="10"/>
        <v>1.7942903322558073</v>
      </c>
      <c r="G59" s="15"/>
      <c r="H59" s="25">
        <f t="shared" si="11"/>
        <v>2.8373300000000001</v>
      </c>
      <c r="I59" s="25">
        <f t="shared" si="12"/>
        <v>2.894337347347347</v>
      </c>
      <c r="J59" s="25">
        <f t="shared" si="13"/>
        <v>2.9278710810810806</v>
      </c>
      <c r="K59" s="13">
        <f t="shared" si="14"/>
        <v>3.0343899999999997</v>
      </c>
      <c r="L59" s="25">
        <f t="shared" si="9"/>
        <v>2.9964648548671979</v>
      </c>
    </row>
    <row r="60" spans="1:12" x14ac:dyDescent="0.25">
      <c r="A60" s="14" t="s">
        <v>50</v>
      </c>
      <c r="B60" s="15">
        <v>0.14899999999999999</v>
      </c>
      <c r="C60" s="16">
        <f>B60*$O$1+D60*(1-$O$1)</f>
        <v>0.15247147147147147</v>
      </c>
      <c r="D60" s="15">
        <f>$R$1*B60+((1-$R$1)*E60)</f>
        <v>0.1545135135135135</v>
      </c>
      <c r="E60" s="15">
        <v>0.161</v>
      </c>
      <c r="F60" s="16">
        <f t="shared" si="10"/>
        <v>0.1581334355317093</v>
      </c>
      <c r="G60" s="15"/>
      <c r="H60" s="25">
        <f t="shared" si="11"/>
        <v>0.24882999999999997</v>
      </c>
      <c r="I60" s="25">
        <f t="shared" si="12"/>
        <v>0.25462735735735736</v>
      </c>
      <c r="J60" s="25">
        <f t="shared" si="13"/>
        <v>0.25803756756756752</v>
      </c>
      <c r="K60" s="13">
        <f t="shared" si="14"/>
        <v>0.26887</v>
      </c>
      <c r="L60" s="25">
        <f t="shared" si="9"/>
        <v>0.26408283733795451</v>
      </c>
    </row>
    <row r="61" spans="1:12" x14ac:dyDescent="0.25">
      <c r="A61" s="14" t="s">
        <v>51</v>
      </c>
      <c r="B61" s="15">
        <v>0.22800000000000001</v>
      </c>
      <c r="C61" s="16">
        <f>B61*$O$1+D61*(1-$O$1)</f>
        <v>0.23291791791791794</v>
      </c>
      <c r="D61" s="15">
        <f>$R$1*B61+((1-$R$1)*E61)</f>
        <v>0.23581081081081082</v>
      </c>
      <c r="E61" s="15">
        <v>0.245</v>
      </c>
      <c r="F61" s="16">
        <f t="shared" si="10"/>
        <v>0.24133535508381385</v>
      </c>
      <c r="G61" s="15"/>
      <c r="H61" s="25">
        <f t="shared" si="11"/>
        <v>0.38075999999999999</v>
      </c>
      <c r="I61" s="25">
        <f t="shared" si="12"/>
        <v>0.38897292292292296</v>
      </c>
      <c r="J61" s="25">
        <f t="shared" si="13"/>
        <v>0.39380405405405405</v>
      </c>
      <c r="K61" s="13">
        <f t="shared" si="14"/>
        <v>0.40914999999999996</v>
      </c>
      <c r="L61" s="25">
        <f t="shared" si="9"/>
        <v>0.40303004298996908</v>
      </c>
    </row>
    <row r="62" spans="1:12" x14ac:dyDescent="0.25">
      <c r="A62" s="14" t="s">
        <v>52</v>
      </c>
      <c r="B62" s="15">
        <v>0</v>
      </c>
      <c r="C62" s="16">
        <f>B62</f>
        <v>0</v>
      </c>
      <c r="D62" s="15">
        <f>C62</f>
        <v>0</v>
      </c>
      <c r="E62" s="15">
        <f>D62</f>
        <v>0</v>
      </c>
      <c r="F62" s="16">
        <f t="shared" si="10"/>
        <v>0</v>
      </c>
      <c r="G62" s="15"/>
      <c r="H62" s="25">
        <f t="shared" si="11"/>
        <v>0</v>
      </c>
      <c r="I62" s="25">
        <f t="shared" si="12"/>
        <v>0</v>
      </c>
      <c r="J62" s="25">
        <f t="shared" si="13"/>
        <v>0</v>
      </c>
      <c r="K62" s="13">
        <f t="shared" si="14"/>
        <v>0</v>
      </c>
      <c r="L62" s="25">
        <f t="shared" si="9"/>
        <v>0</v>
      </c>
    </row>
    <row r="63" spans="1:12" x14ac:dyDescent="0.25">
      <c r="A63" s="14" t="s">
        <v>53</v>
      </c>
      <c r="B63" s="15">
        <v>0.39100000000000001</v>
      </c>
      <c r="C63" s="16">
        <f>B63*$O$1+D63*(1-$O$1)</f>
        <v>0.39881081081081082</v>
      </c>
      <c r="D63" s="15">
        <f>$R$1*B63+((1-$R$1)*E63)</f>
        <v>0.40340540540540537</v>
      </c>
      <c r="E63" s="15">
        <v>0.41799999999999998</v>
      </c>
      <c r="F63" s="16">
        <f t="shared" si="10"/>
        <v>0.41285633352217821</v>
      </c>
      <c r="G63" s="15"/>
      <c r="H63" s="25">
        <f t="shared" si="11"/>
        <v>0.65297000000000005</v>
      </c>
      <c r="I63" s="25">
        <f t="shared" si="12"/>
        <v>0.66601405405405401</v>
      </c>
      <c r="J63" s="25">
        <f t="shared" si="13"/>
        <v>0.67368702702702699</v>
      </c>
      <c r="K63" s="13">
        <f t="shared" si="14"/>
        <v>0.6980599999999999</v>
      </c>
      <c r="L63" s="25">
        <f t="shared" si="9"/>
        <v>0.68947007698203755</v>
      </c>
    </row>
    <row r="64" spans="1:12" x14ac:dyDescent="0.25">
      <c r="A64" s="14" t="s">
        <v>54</v>
      </c>
      <c r="B64" s="15">
        <v>0.71799999999999997</v>
      </c>
      <c r="C64" s="16">
        <f>B64*$O$1+D64*(1-$O$1)</f>
        <v>0.73188588588588588</v>
      </c>
      <c r="D64" s="15">
        <f>$R$1*B64+((1-$R$1)*E64)</f>
        <v>0.74005405405405411</v>
      </c>
      <c r="E64" s="15">
        <v>0.76600000000000001</v>
      </c>
      <c r="F64" s="16">
        <f t="shared" si="10"/>
        <v>0.75739194188022818</v>
      </c>
      <c r="G64" s="15"/>
      <c r="H64" s="25">
        <f t="shared" si="11"/>
        <v>1.1990599999999998</v>
      </c>
      <c r="I64" s="25">
        <f t="shared" si="12"/>
        <v>1.2222494294294293</v>
      </c>
      <c r="J64" s="25">
        <f t="shared" si="13"/>
        <v>1.2358902702702703</v>
      </c>
      <c r="K64" s="13">
        <f t="shared" si="14"/>
        <v>1.27922</v>
      </c>
      <c r="L64" s="25">
        <f t="shared" si="9"/>
        <v>1.2648445429399811</v>
      </c>
    </row>
    <row r="65" spans="1:12" x14ac:dyDescent="0.25">
      <c r="A65" s="14" t="s">
        <v>55</v>
      </c>
      <c r="B65" s="15">
        <v>0.63400000000000001</v>
      </c>
      <c r="C65" s="16">
        <f>B65*$O$1+D65*(1-$O$1)</f>
        <v>0.64643943943943949</v>
      </c>
      <c r="D65" s="15">
        <f>$R$1*B65+((1-$R$1)*E65)</f>
        <v>0.65375675675675682</v>
      </c>
      <c r="E65" s="15">
        <v>0.67700000000000005</v>
      </c>
      <c r="F65" s="16">
        <f t="shared" si="10"/>
        <v>0.66907288299396828</v>
      </c>
      <c r="G65" s="15"/>
      <c r="H65" s="25">
        <f t="shared" si="11"/>
        <v>1.0587800000000001</v>
      </c>
      <c r="I65" s="25">
        <f t="shared" si="12"/>
        <v>1.079553863863864</v>
      </c>
      <c r="J65" s="25">
        <f t="shared" si="13"/>
        <v>1.0917737837837838</v>
      </c>
      <c r="K65" s="13">
        <f t="shared" si="14"/>
        <v>1.13059</v>
      </c>
      <c r="L65" s="25">
        <f t="shared" si="9"/>
        <v>1.117351714599927</v>
      </c>
    </row>
    <row r="66" spans="1:12" x14ac:dyDescent="0.25">
      <c r="A66" s="14" t="s">
        <v>56</v>
      </c>
      <c r="B66" s="15">
        <v>0.19900000000000001</v>
      </c>
      <c r="C66" s="16">
        <f>B66*$O$1+D66*(1-$O$1)</f>
        <v>0.20247147147147149</v>
      </c>
      <c r="D66" s="15">
        <f>$R$1*B66+((1-$R$1)*E66)</f>
        <v>0.20451351351351352</v>
      </c>
      <c r="E66" s="15">
        <v>0.21099999999999999</v>
      </c>
      <c r="F66" s="16">
        <f t="shared" si="10"/>
        <v>0.20930482887326296</v>
      </c>
      <c r="G66" s="15"/>
      <c r="H66" s="25">
        <f t="shared" si="11"/>
        <v>0.33233000000000001</v>
      </c>
      <c r="I66" s="25">
        <f t="shared" si="12"/>
        <v>0.33812735735735738</v>
      </c>
      <c r="J66" s="25">
        <f t="shared" si="13"/>
        <v>0.34153756756756753</v>
      </c>
      <c r="K66" s="13">
        <f t="shared" si="14"/>
        <v>0.35236999999999996</v>
      </c>
      <c r="L66" s="25">
        <f t="shared" si="9"/>
        <v>0.34953906421834913</v>
      </c>
    </row>
    <row r="67" spans="1:12" x14ac:dyDescent="0.25">
      <c r="A67" s="14" t="s">
        <v>57</v>
      </c>
      <c r="B67" s="15">
        <v>0.39100000000000001</v>
      </c>
      <c r="C67" s="16">
        <f>B67*$O$1+D67*(1-$O$1)</f>
        <v>0.39938938938938939</v>
      </c>
      <c r="D67" s="15">
        <f>$R$1*B67+((1-$R$1)*E67)</f>
        <v>0.4043243243243243</v>
      </c>
      <c r="E67" s="15">
        <v>0.42</v>
      </c>
      <c r="F67" s="16">
        <f t="shared" si="10"/>
        <v>0.41379678075115817</v>
      </c>
      <c r="G67" s="15"/>
      <c r="H67" s="25">
        <f t="shared" si="11"/>
        <v>0.65297000000000005</v>
      </c>
      <c r="I67" s="25">
        <f t="shared" si="12"/>
        <v>0.66698028028028022</v>
      </c>
      <c r="J67" s="25">
        <f t="shared" si="13"/>
        <v>0.67522162162162158</v>
      </c>
      <c r="K67" s="13">
        <f t="shared" si="14"/>
        <v>0.70139999999999991</v>
      </c>
      <c r="L67" s="25">
        <f t="shared" si="9"/>
        <v>0.6910406238544341</v>
      </c>
    </row>
    <row r="68" spans="1:12" x14ac:dyDescent="0.25">
      <c r="A68" s="14" t="s">
        <v>58</v>
      </c>
      <c r="B68" s="15">
        <v>0.746</v>
      </c>
      <c r="C68" s="16">
        <f>B68*$O$1+D68*(1-$O$1)</f>
        <v>0.76075375375375365</v>
      </c>
      <c r="D68" s="15">
        <f>$R$1*B68+((1-$R$1)*E68)</f>
        <v>0.76943243243243242</v>
      </c>
      <c r="E68" s="15">
        <v>0.79700000000000004</v>
      </c>
      <c r="F68" s="16">
        <f t="shared" si="10"/>
        <v>0.78745859299496801</v>
      </c>
      <c r="G68" s="15"/>
      <c r="H68" s="25">
        <f t="shared" si="11"/>
        <v>1.2458199999999999</v>
      </c>
      <c r="I68" s="25">
        <f t="shared" si="12"/>
        <v>1.2704587687687685</v>
      </c>
      <c r="J68" s="25">
        <f t="shared" si="13"/>
        <v>1.284952162162162</v>
      </c>
      <c r="K68" s="13">
        <f t="shared" si="14"/>
        <v>1.3309900000000001</v>
      </c>
      <c r="L68" s="25">
        <f t="shared" si="9"/>
        <v>1.3150558503015966</v>
      </c>
    </row>
    <row r="69" spans="1:12" x14ac:dyDescent="0.25">
      <c r="A69" s="14" t="s">
        <v>59</v>
      </c>
      <c r="B69" s="15">
        <v>0.45600000000000002</v>
      </c>
      <c r="C69" s="16">
        <f>B69*$O$1+D69*(1-$O$1)</f>
        <v>0.46496796796796802</v>
      </c>
      <c r="D69" s="15">
        <f>$R$1*B69+((1-$R$1)*E69)</f>
        <v>0.47024324324324329</v>
      </c>
      <c r="E69" s="15">
        <v>0.48699999999999999</v>
      </c>
      <c r="F69" s="16">
        <f t="shared" si="10"/>
        <v>0.48126003932415784</v>
      </c>
      <c r="G69" s="15"/>
      <c r="H69" s="25">
        <f t="shared" si="11"/>
        <v>0.76151999999999997</v>
      </c>
      <c r="I69" s="25">
        <f t="shared" si="12"/>
        <v>0.77649650650650659</v>
      </c>
      <c r="J69" s="25">
        <f t="shared" si="13"/>
        <v>0.78530621621621621</v>
      </c>
      <c r="K69" s="13">
        <f t="shared" si="14"/>
        <v>0.81328999999999996</v>
      </c>
      <c r="L69" s="25">
        <f t="shared" si="9"/>
        <v>0.80370426567134357</v>
      </c>
    </row>
    <row r="70" spans="1:12" x14ac:dyDescent="0.25">
      <c r="A70" s="14" t="s">
        <v>60</v>
      </c>
      <c r="B70" s="15">
        <v>0.32200000000000001</v>
      </c>
      <c r="C70" s="16">
        <f>B70*$O$1+D70*(1-$O$1)</f>
        <v>0.32894294294294291</v>
      </c>
      <c r="D70" s="15">
        <f>$R$1*B70+((1-$R$1)*E70)</f>
        <v>0.33302702702702702</v>
      </c>
      <c r="E70" s="15">
        <v>0.34599999999999997</v>
      </c>
      <c r="F70" s="16">
        <f t="shared" si="10"/>
        <v>0.34082913986736435</v>
      </c>
      <c r="G70" s="15"/>
      <c r="H70" s="25">
        <f t="shared" si="11"/>
        <v>0.53774</v>
      </c>
      <c r="I70" s="25">
        <f t="shared" si="12"/>
        <v>0.54933471471471462</v>
      </c>
      <c r="J70" s="25">
        <f t="shared" si="13"/>
        <v>0.55615513513513515</v>
      </c>
      <c r="K70" s="13">
        <f t="shared" si="14"/>
        <v>0.57781999999999989</v>
      </c>
      <c r="L70" s="25">
        <f t="shared" si="14"/>
        <v>0.5691846635784984</v>
      </c>
    </row>
    <row r="71" spans="1:12" x14ac:dyDescent="0.25">
      <c r="A71" s="14" t="s">
        <v>61</v>
      </c>
      <c r="B71" s="15">
        <v>9.6000000000000002E-2</v>
      </c>
      <c r="C71" s="16">
        <f>B71*$O$1+D71*(1-$O$1)</f>
        <v>9.8025025025025025E-2</v>
      </c>
      <c r="D71" s="15">
        <f>$R$1*B71+((1-$R$1)*E71)</f>
        <v>9.9216216216216208E-2</v>
      </c>
      <c r="E71" s="15">
        <v>0.10299999999999999</v>
      </c>
      <c r="F71" s="16">
        <f t="shared" si="10"/>
        <v>0.10154064051721266</v>
      </c>
      <c r="G71" s="15"/>
      <c r="H71" s="25">
        <f t="shared" si="11"/>
        <v>0.16031999999999999</v>
      </c>
      <c r="I71" s="25">
        <f t="shared" si="12"/>
        <v>0.16370179179179178</v>
      </c>
      <c r="J71" s="25">
        <f t="shared" si="13"/>
        <v>0.16569108108108105</v>
      </c>
      <c r="K71" s="13">
        <f t="shared" si="14"/>
        <v>0.17201</v>
      </c>
      <c r="L71" s="25">
        <f t="shared" si="14"/>
        <v>0.16957286966374513</v>
      </c>
    </row>
    <row r="72" spans="1:12" x14ac:dyDescent="0.25">
      <c r="A72" s="14" t="s">
        <v>62</v>
      </c>
      <c r="B72" s="15">
        <v>0.38200000000000001</v>
      </c>
      <c r="C72" s="16">
        <f>B72*$O$1+D72*(1-$O$1)</f>
        <v>0.38952152152152153</v>
      </c>
      <c r="D72" s="15">
        <f>$R$1*B72+((1-$R$1)*E72)</f>
        <v>0.39394594594594595</v>
      </c>
      <c r="E72" s="15">
        <v>0.40799999999999997</v>
      </c>
      <c r="F72" s="16">
        <f t="shared" si="10"/>
        <v>0.40317525910620866</v>
      </c>
      <c r="G72" s="15"/>
      <c r="H72" s="25">
        <f t="shared" si="11"/>
        <v>0.63793999999999995</v>
      </c>
      <c r="I72" s="25">
        <f t="shared" si="12"/>
        <v>0.65050094094094091</v>
      </c>
      <c r="J72" s="25">
        <f t="shared" si="13"/>
        <v>0.6578897297297297</v>
      </c>
      <c r="K72" s="13">
        <f t="shared" si="14"/>
        <v>0.68135999999999997</v>
      </c>
      <c r="L72" s="25">
        <f t="shared" si="14"/>
        <v>0.67330268270736848</v>
      </c>
    </row>
    <row r="73" spans="1:12" x14ac:dyDescent="0.25">
      <c r="A73" s="14" t="s">
        <v>63</v>
      </c>
      <c r="B73" s="15">
        <v>0.49399999999999999</v>
      </c>
      <c r="C73" s="16">
        <f>B73*$O$1+D73*(1-$O$1)</f>
        <v>0.50441441441441448</v>
      </c>
      <c r="D73" s="15">
        <f>$R$1*B73+((1-$R$1)*E73)</f>
        <v>0.51054054054054054</v>
      </c>
      <c r="E73" s="15">
        <v>0.53</v>
      </c>
      <c r="F73" s="16">
        <f t="shared" si="10"/>
        <v>0.52250141633618841</v>
      </c>
      <c r="G73" s="15"/>
      <c r="H73" s="25">
        <f t="shared" si="11"/>
        <v>0.82497999999999994</v>
      </c>
      <c r="I73" s="25">
        <f t="shared" si="12"/>
        <v>0.8423720720720721</v>
      </c>
      <c r="J73" s="25">
        <f t="shared" si="13"/>
        <v>0.85260270270270266</v>
      </c>
      <c r="K73" s="13">
        <f t="shared" si="14"/>
        <v>0.8851</v>
      </c>
      <c r="L73" s="25">
        <f t="shared" si="14"/>
        <v>0.87257736528143459</v>
      </c>
    </row>
    <row r="74" spans="1:12" x14ac:dyDescent="0.25">
      <c r="B74" s="15"/>
      <c r="C74" s="16"/>
      <c r="D74" s="15"/>
      <c r="E74" s="15"/>
      <c r="F74" s="16"/>
      <c r="G74" s="15"/>
      <c r="H74" s="26"/>
      <c r="I74" s="26"/>
      <c r="J74" s="26"/>
      <c r="K74" s="9"/>
      <c r="L74" s="26"/>
    </row>
    <row r="75" spans="1:12" x14ac:dyDescent="0.25">
      <c r="A75" s="14" t="s">
        <v>64</v>
      </c>
      <c r="B75" s="15">
        <f>C75</f>
        <v>0</v>
      </c>
      <c r="C75" s="16">
        <f>D75</f>
        <v>0</v>
      </c>
      <c r="D75" s="15">
        <v>0</v>
      </c>
      <c r="E75" s="15">
        <f>D75</f>
        <v>0</v>
      </c>
      <c r="F75" s="16">
        <v>0</v>
      </c>
      <c r="G75" s="15"/>
      <c r="H75" s="25">
        <f>B75</f>
        <v>0</v>
      </c>
      <c r="I75" s="25">
        <f>C75</f>
        <v>0</v>
      </c>
      <c r="J75" s="25">
        <f>D75</f>
        <v>0</v>
      </c>
      <c r="K75" s="13">
        <f>E75</f>
        <v>0</v>
      </c>
      <c r="L75" s="25">
        <f>F75</f>
        <v>0</v>
      </c>
    </row>
    <row r="76" spans="1:12" x14ac:dyDescent="0.25">
      <c r="A76" s="14" t="s">
        <v>65</v>
      </c>
      <c r="B76" s="15">
        <f>B75</f>
        <v>0</v>
      </c>
      <c r="C76" s="16">
        <f>C75</f>
        <v>0</v>
      </c>
      <c r="D76" s="15">
        <f>D75</f>
        <v>0</v>
      </c>
      <c r="E76" s="15">
        <f>E75</f>
        <v>0</v>
      </c>
      <c r="F76" s="16">
        <v>2E-3</v>
      </c>
      <c r="G76" s="15"/>
      <c r="H76" s="25">
        <f>B76</f>
        <v>0</v>
      </c>
      <c r="I76" s="25">
        <f>C76</f>
        <v>0</v>
      </c>
      <c r="J76" s="25">
        <f>D76</f>
        <v>0</v>
      </c>
      <c r="K76" s="13">
        <f>E76</f>
        <v>0</v>
      </c>
      <c r="L76" s="25">
        <f t="shared" ref="L76:L77" si="15">F76</f>
        <v>2E-3</v>
      </c>
    </row>
    <row r="77" spans="1:12" x14ac:dyDescent="0.25">
      <c r="A77" s="14" t="s">
        <v>66</v>
      </c>
      <c r="B77" s="15">
        <f>B76</f>
        <v>0</v>
      </c>
      <c r="C77" s="16">
        <f>C76</f>
        <v>0</v>
      </c>
      <c r="D77" s="15">
        <f>D76</f>
        <v>0</v>
      </c>
      <c r="E77" s="15">
        <f>E76</f>
        <v>0</v>
      </c>
      <c r="F77" s="16">
        <v>2E-3</v>
      </c>
      <c r="G77" s="15"/>
      <c r="H77" s="25">
        <f>B77</f>
        <v>0</v>
      </c>
      <c r="I77" s="25">
        <f>C77</f>
        <v>0</v>
      </c>
      <c r="J77" s="25">
        <f>D77</f>
        <v>0</v>
      </c>
      <c r="K77" s="13">
        <f>E77</f>
        <v>0</v>
      </c>
      <c r="L77" s="25">
        <f t="shared" si="15"/>
        <v>2E-3</v>
      </c>
    </row>
  </sheetData>
  <pageMargins left="0.7" right="0.7" top="0.75" bottom="0.75" header="0.3" footer="0.3"/>
  <ignoredErrors>
    <ignoredError sqref="C58:D58 C62:D62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Scally</dc:creator>
  <cp:lastModifiedBy>Paul Scally</cp:lastModifiedBy>
  <dcterms:created xsi:type="dcterms:W3CDTF">2026-09-24T10:13:12Z</dcterms:created>
  <dcterms:modified xsi:type="dcterms:W3CDTF">2026-09-24T19:28:16Z</dcterms:modified>
</cp:coreProperties>
</file>