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s1\Documents\website\python\other\"/>
    </mc:Choice>
  </mc:AlternateContent>
  <xr:revisionPtr revIDLastSave="0" documentId="13_ncr:1_{A06D5E88-90FB-42BB-B71E-1185624CF969}" xr6:coauthVersionLast="47" xr6:coauthVersionMax="47" xr10:uidLastSave="{00000000-0000-0000-0000-000000000000}"/>
  <bookViews>
    <workbookView xWindow="-28920" yWindow="-105" windowWidth="29040" windowHeight="15840" xr2:uid="{F6D9109D-DC33-44D9-AD46-2C8EB1080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1" l="1"/>
  <c r="D53" i="1"/>
  <c r="C53" i="1"/>
  <c r="C11" i="1"/>
  <c r="C10" i="1"/>
  <c r="C9" i="1"/>
  <c r="C8" i="1"/>
  <c r="E66" i="1"/>
  <c r="E67" i="1"/>
  <c r="C67" i="1"/>
  <c r="B67" i="1"/>
  <c r="B66" i="1"/>
  <c r="C66" i="1"/>
  <c r="B65" i="1"/>
  <c r="C65" i="1"/>
  <c r="E65" i="1"/>
  <c r="D67" i="1"/>
  <c r="D66" i="1"/>
  <c r="C13" i="1"/>
  <c r="C14" i="1" s="1"/>
  <c r="B13" i="1"/>
  <c r="B14" i="1" s="1"/>
  <c r="E14" i="1"/>
  <c r="D14" i="1"/>
  <c r="E13" i="1"/>
  <c r="B12" i="1"/>
  <c r="C12" i="1"/>
  <c r="E12" i="1"/>
  <c r="D13" i="1"/>
  <c r="B49" i="1"/>
  <c r="C49" i="1"/>
  <c r="D49" i="1"/>
  <c r="E49" i="1"/>
  <c r="H1" i="1"/>
  <c r="C4" i="1" s="1"/>
  <c r="C7" i="1" l="1"/>
  <c r="C6" i="1"/>
  <c r="C2" i="1"/>
  <c r="C5" i="1"/>
  <c r="C1" i="1"/>
  <c r="C3" i="1"/>
</calcChain>
</file>

<file path=xl/sharedStrings.xml><?xml version="1.0" encoding="utf-8"?>
<sst xmlns="http://schemas.openxmlformats.org/spreadsheetml/2006/main" count="68" uniqueCount="68">
  <si>
    <t>Fat</t>
  </si>
  <si>
    <t>  Saturated fatty acids</t>
  </si>
  <si>
    <t>  Monounsaturated fatty acids</t>
  </si>
  <si>
    <t>  Polyunsaturated fatty acids</t>
  </si>
  <si>
    <t>Weight</t>
  </si>
  <si>
    <t>Cholesterol</t>
  </si>
  <si>
    <t>Nutrient</t>
  </si>
  <si>
    <t>Protein</t>
  </si>
  <si>
    <t>Carbohydrate</t>
  </si>
  <si>
    <t>  Sugars</t>
  </si>
  <si>
    <t>  Fiber</t>
  </si>
  <si>
    <t>Water</t>
  </si>
  <si>
    <t>Caffeine</t>
  </si>
  <si>
    <t>Theobromine</t>
  </si>
  <si>
    <t>Alcohol, ethyl</t>
  </si>
  <si>
    <t>Vitamin A, RAE</t>
  </si>
  <si>
    <t>  Carotene, alpha</t>
  </si>
  <si>
    <t>  Carotene, beta</t>
  </si>
  <si>
    <t>  Retinol</t>
  </si>
  <si>
    <t>Thiamin [Vitamin B1]</t>
  </si>
  <si>
    <t>Riboflavin [Vitamin B2]</t>
  </si>
  <si>
    <t>Niacin [Vitamin B3]</t>
  </si>
  <si>
    <t>Pantothenic acid [Vitamin B5]</t>
  </si>
  <si>
    <t>Vitamin B6</t>
  </si>
  <si>
    <t>Biotin [Vitamin B7]</t>
  </si>
  <si>
    <t>Folate, DFE [Vitamin B9]</t>
  </si>
  <si>
    <t>Vitamin B12 [Cobalamin]</t>
  </si>
  <si>
    <t>Vitamin C [Ascorbic acid]</t>
  </si>
  <si>
    <t>Vitamin D</t>
  </si>
  <si>
    <t>Vitamin E (alpha-tocopherol)</t>
  </si>
  <si>
    <t>Vitamin K</t>
  </si>
  <si>
    <t>Betaine</t>
  </si>
  <si>
    <t>Choline</t>
  </si>
  <si>
    <t>Calcium</t>
  </si>
  <si>
    <t>Copper</t>
  </si>
  <si>
    <t>Fluoride</t>
  </si>
  <si>
    <t>Iodine</t>
  </si>
  <si>
    <t>Iron</t>
  </si>
  <si>
    <t>Magnesium</t>
  </si>
  <si>
    <t>Manganese</t>
  </si>
  <si>
    <t>Phosphorus</t>
  </si>
  <si>
    <t>Potassium</t>
  </si>
  <si>
    <t>Selenium</t>
  </si>
  <si>
    <t>Sodium</t>
  </si>
  <si>
    <t>Zinc</t>
  </si>
  <si>
    <t>Alanine</t>
  </si>
  <si>
    <t>Arginine</t>
  </si>
  <si>
    <t>Aspartic acid</t>
  </si>
  <si>
    <t>Cystine</t>
  </si>
  <si>
    <t>Cysteine</t>
  </si>
  <si>
    <t>Glutamic acid</t>
  </si>
  <si>
    <t>Glycine</t>
  </si>
  <si>
    <t>Histidine</t>
  </si>
  <si>
    <t>Hydroxyproline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</si>
  <si>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</si>
  <si>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</si>
  <si>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</si>
  <si>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</si>
  <si>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</si>
  <si>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</si>
  <si>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</si>
  <si>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</si>
  <si>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</si>
  <si>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</si>
  <si>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</si>
  <si>
    <t>Docosahexaenoic n-3 acid (DHA)</t>
  </si>
  <si>
    <t>Docosapentaenoic n-3 acid (DPA)</t>
  </si>
  <si>
    <t>Eicosapentaenoic n-3 acid (EPA)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</si>
</sst>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F36A3-0443-45FA-9653-4925C03A754C}">
  <dimension ref="A1:H67"/>
  <sheetViews>
    <sheetView tabSelected="1" workbookViewId="0">
      <pane ySplit="1" topLeftCell="A35" activePane="bottomLeft" state="frozen"/>
      <selection pane="bottomLeft" activeCell="B64" sqref="B64"/>
    </sheetView>
  </sheetViews>
  <sheetFormatPr defaultRowHeight="15" x14ac:dyDescent="0.25"/>
  <cols>
    <col min="1" max="1" width="30.85546875" bestFit="1" customWidth="1"/>
    <col min="7" max="7" width="11" bestFit="1" customWidth="1"/>
  </cols>
  <sheetData>
    <row r="1" spans="1:8" s="1" customFormat="1" x14ac:dyDescent="0.25">
      <c r="A1" s="1" t="s">
        <v>6</v>
      </c>
      <c r="B1" s="1">
        <v>3.7</v>
      </c>
      <c r="C1" s="1">
        <f>B1*$H$1+D1*(1-$H$1)</f>
        <v>2</v>
      </c>
      <c r="D1" s="1">
        <v>1</v>
      </c>
      <c r="E1" s="1">
        <v>0</v>
      </c>
      <c r="G1" s="1" t="s">
        <v>4</v>
      </c>
      <c r="H1" s="2">
        <f>(2-1)/(3.7-1)</f>
        <v>0.37037037037037035</v>
      </c>
    </row>
    <row r="2" spans="1:8" x14ac:dyDescent="0.25">
      <c r="A2" t="s">
        <v>0</v>
      </c>
      <c r="B2">
        <v>7.68</v>
      </c>
      <c r="C2">
        <f>B2*$H$1+D2*(1-$H$1)</f>
        <v>4.2799999999999994</v>
      </c>
      <c r="D2">
        <v>2.2799999999999998</v>
      </c>
      <c r="E2">
        <v>0.192</v>
      </c>
    </row>
    <row r="3" spans="1:8" x14ac:dyDescent="0.25">
      <c r="A3" t="s">
        <v>1</v>
      </c>
      <c r="B3">
        <v>4.4640000000000004</v>
      </c>
      <c r="C3">
        <f>B3*$H$1+D3*(1-$H$1)</f>
        <v>2.5115185185185185</v>
      </c>
      <c r="D3">
        <v>1.363</v>
      </c>
      <c r="E3">
        <v>0.11799999999999999</v>
      </c>
    </row>
    <row r="4" spans="1:8" x14ac:dyDescent="0.25">
      <c r="A4" t="s">
        <v>2</v>
      </c>
      <c r="B4">
        <v>1.651</v>
      </c>
      <c r="C4">
        <f>B4*$H$1+D4*(1-$H$1)</f>
        <v>0.92881481481481476</v>
      </c>
      <c r="D4">
        <v>0.504</v>
      </c>
      <c r="E4">
        <v>4.1000000000000002E-2</v>
      </c>
    </row>
    <row r="5" spans="1:8" x14ac:dyDescent="0.25">
      <c r="A5" t="s">
        <v>3</v>
      </c>
      <c r="B5">
        <v>0.25900000000000001</v>
      </c>
      <c r="C5">
        <f>B5*$H$1+D5*(1-$H$1)</f>
        <v>0.1444074074074074</v>
      </c>
      <c r="D5">
        <v>7.6999999999999999E-2</v>
      </c>
      <c r="E5">
        <v>1.4E-2</v>
      </c>
    </row>
    <row r="6" spans="1:8" x14ac:dyDescent="0.25">
      <c r="A6" t="s">
        <v>5</v>
      </c>
      <c r="B6">
        <v>29</v>
      </c>
      <c r="C6">
        <f>B6*$H$1+D6*(1-$H$1)</f>
        <v>18.296296296296298</v>
      </c>
      <c r="D6">
        <v>12</v>
      </c>
      <c r="E6">
        <v>7</v>
      </c>
    </row>
    <row r="7" spans="1:8" x14ac:dyDescent="0.25">
      <c r="A7" t="s">
        <v>7</v>
      </c>
      <c r="B7">
        <v>7.85</v>
      </c>
      <c r="C7">
        <f>B7*$H$1+D7*(1-$H$1)</f>
        <v>8.0137037037037029</v>
      </c>
      <c r="D7">
        <v>8.11</v>
      </c>
      <c r="E7">
        <v>8.09</v>
      </c>
    </row>
    <row r="8" spans="1:8" x14ac:dyDescent="0.25">
      <c r="A8" t="s">
        <v>8</v>
      </c>
      <c r="B8">
        <v>11.52</v>
      </c>
      <c r="C8">
        <f>B8*$H$1+D8*(1-$H$1)</f>
        <v>12.092962962962963</v>
      </c>
      <c r="D8">
        <v>12.43</v>
      </c>
      <c r="E8">
        <v>11.9</v>
      </c>
    </row>
    <row r="9" spans="1:8" x14ac:dyDescent="0.25">
      <c r="A9" t="s">
        <v>9</v>
      </c>
      <c r="B9">
        <v>12.2</v>
      </c>
      <c r="C9">
        <f>B9*$H$1+D9*(1-$H$1)</f>
        <v>12.011111111111111</v>
      </c>
      <c r="D9">
        <v>11.9</v>
      </c>
      <c r="E9">
        <v>12.22</v>
      </c>
    </row>
    <row r="10" spans="1:8" x14ac:dyDescent="0.25">
      <c r="A10" t="s">
        <v>10</v>
      </c>
      <c r="B10">
        <v>0</v>
      </c>
      <c r="C10">
        <f>B10*$H$1+D10*(1-$H$1)</f>
        <v>0</v>
      </c>
      <c r="D10">
        <v>0</v>
      </c>
      <c r="E10">
        <v>0</v>
      </c>
    </row>
    <row r="11" spans="1:8" x14ac:dyDescent="0.25">
      <c r="A11" t="s">
        <v>11</v>
      </c>
      <c r="B11">
        <v>211.51</v>
      </c>
      <c r="C11">
        <f>B11*$H$1+D11*(1-$H$1)</f>
        <v>213.8837037037037</v>
      </c>
      <c r="D11">
        <v>215.28</v>
      </c>
      <c r="E11">
        <v>218.02</v>
      </c>
    </row>
    <row r="12" spans="1:8" x14ac:dyDescent="0.25">
      <c r="A12" t="s">
        <v>12</v>
      </c>
      <c r="B12">
        <f>C12</f>
        <v>0</v>
      </c>
      <c r="C12">
        <f>D12</f>
        <v>0</v>
      </c>
      <c r="D12">
        <v>0</v>
      </c>
      <c r="E12">
        <f>D12</f>
        <v>0</v>
      </c>
    </row>
    <row r="13" spans="1:8" x14ac:dyDescent="0.25">
      <c r="A13" t="s">
        <v>13</v>
      </c>
      <c r="B13">
        <f>B12</f>
        <v>0</v>
      </c>
      <c r="C13">
        <f>C12</f>
        <v>0</v>
      </c>
      <c r="D13">
        <f>D12</f>
        <v>0</v>
      </c>
      <c r="E13">
        <f>E12</f>
        <v>0</v>
      </c>
    </row>
    <row r="14" spans="1:8" x14ac:dyDescent="0.25">
      <c r="A14" t="s">
        <v>14</v>
      </c>
      <c r="B14">
        <f>B13</f>
        <v>0</v>
      </c>
      <c r="C14">
        <f>C13</f>
        <v>0</v>
      </c>
      <c r="D14">
        <f>D13</f>
        <v>0</v>
      </c>
      <c r="E14">
        <f>E13</f>
        <v>0</v>
      </c>
    </row>
    <row r="15" spans="1:8" x14ac:dyDescent="0.25">
      <c r="A15" t="s">
        <v>15</v>
      </c>
      <c r="B15">
        <v>110</v>
      </c>
      <c r="D15">
        <v>139</v>
      </c>
      <c r="E15">
        <v>146</v>
      </c>
    </row>
    <row r="16" spans="1:8" x14ac:dyDescent="0.25">
      <c r="A16" t="s">
        <v>16</v>
      </c>
      <c r="B16">
        <v>0</v>
      </c>
      <c r="D16">
        <v>0</v>
      </c>
      <c r="E16">
        <v>0</v>
      </c>
    </row>
    <row r="17" spans="1:5" x14ac:dyDescent="0.25">
      <c r="A17" t="s">
        <v>17</v>
      </c>
      <c r="B17">
        <v>17</v>
      </c>
      <c r="D17">
        <v>2</v>
      </c>
      <c r="E17">
        <v>0</v>
      </c>
    </row>
    <row r="18" spans="1:5" x14ac:dyDescent="0.25">
      <c r="A18" t="s">
        <v>18</v>
      </c>
      <c r="B18">
        <v>108</v>
      </c>
      <c r="D18">
        <v>137</v>
      </c>
      <c r="E18">
        <v>146</v>
      </c>
    </row>
    <row r="19" spans="1:5" x14ac:dyDescent="0.25">
      <c r="A19" t="s">
        <v>19</v>
      </c>
      <c r="B19">
        <v>0.11</v>
      </c>
      <c r="D19">
        <v>0.13700000000000001</v>
      </c>
      <c r="E19">
        <v>0.108</v>
      </c>
    </row>
    <row r="20" spans="1:5" x14ac:dyDescent="0.25">
      <c r="A20" t="s">
        <v>20</v>
      </c>
      <c r="B20">
        <v>0.40600000000000003</v>
      </c>
      <c r="D20">
        <v>0.33600000000000002</v>
      </c>
      <c r="E20">
        <v>0.437</v>
      </c>
    </row>
    <row r="21" spans="1:5" x14ac:dyDescent="0.25">
      <c r="A21" t="s">
        <v>21</v>
      </c>
      <c r="B21">
        <v>0.214</v>
      </c>
      <c r="D21">
        <v>0.27100000000000002</v>
      </c>
      <c r="E21">
        <v>0.22600000000000001</v>
      </c>
    </row>
    <row r="22" spans="1:5" x14ac:dyDescent="0.25">
      <c r="A22" t="s">
        <v>22</v>
      </c>
      <c r="B22">
        <v>0.89500000000000002</v>
      </c>
      <c r="E22">
        <v>0.85699999999999998</v>
      </c>
    </row>
    <row r="23" spans="1:5" x14ac:dyDescent="0.25">
      <c r="A23" t="s">
        <v>23</v>
      </c>
      <c r="B23">
        <v>8.5999999999999993E-2</v>
      </c>
      <c r="D23">
        <v>0.14399999999999999</v>
      </c>
      <c r="E23">
        <v>8.8999999999999996E-2</v>
      </c>
    </row>
    <row r="24" spans="1:5" x14ac:dyDescent="0.25">
      <c r="A24" t="s">
        <v>24</v>
      </c>
      <c r="B24">
        <v>0</v>
      </c>
      <c r="D24">
        <v>0</v>
      </c>
      <c r="E24">
        <v>0</v>
      </c>
    </row>
    <row r="25" spans="1:5" x14ac:dyDescent="0.25">
      <c r="A25" t="s">
        <v>25</v>
      </c>
      <c r="B25">
        <v>12</v>
      </c>
      <c r="D25">
        <v>5</v>
      </c>
      <c r="E25">
        <v>12</v>
      </c>
    </row>
    <row r="26" spans="1:5" x14ac:dyDescent="0.25">
      <c r="A26" t="s">
        <v>26</v>
      </c>
      <c r="B26">
        <v>1.08</v>
      </c>
      <c r="D26">
        <v>1.46</v>
      </c>
      <c r="E26">
        <v>1.2</v>
      </c>
    </row>
    <row r="27" spans="1:5" x14ac:dyDescent="0.25">
      <c r="A27" t="s">
        <v>27</v>
      </c>
      <c r="B27">
        <v>0</v>
      </c>
      <c r="D27">
        <v>0</v>
      </c>
      <c r="E27">
        <v>0</v>
      </c>
    </row>
    <row r="28" spans="1:5" x14ac:dyDescent="0.25">
      <c r="A28" t="s">
        <v>28</v>
      </c>
      <c r="B28">
        <v>3.1</v>
      </c>
      <c r="D28">
        <v>2.6</v>
      </c>
      <c r="E28">
        <v>2.9</v>
      </c>
    </row>
    <row r="29" spans="1:5" x14ac:dyDescent="0.25">
      <c r="A29" t="s">
        <v>29</v>
      </c>
      <c r="B29">
        <v>1.7000000000000001E-2</v>
      </c>
      <c r="D29">
        <v>0.05</v>
      </c>
      <c r="E29">
        <v>0.02</v>
      </c>
    </row>
    <row r="30" spans="1:5" x14ac:dyDescent="0.25">
      <c r="A30" t="s">
        <v>30</v>
      </c>
      <c r="B30">
        <v>3.1</v>
      </c>
      <c r="D30">
        <v>0.2</v>
      </c>
      <c r="E30">
        <v>0</v>
      </c>
    </row>
    <row r="31" spans="1:5" x14ac:dyDescent="0.25">
      <c r="A31" t="s">
        <v>31</v>
      </c>
      <c r="B31">
        <v>1.4</v>
      </c>
      <c r="E31">
        <v>4.5999999999999996</v>
      </c>
    </row>
    <row r="32" spans="1:5" x14ac:dyDescent="0.25">
      <c r="A32" t="s">
        <v>32</v>
      </c>
      <c r="B32">
        <v>34.299999999999997</v>
      </c>
      <c r="D32">
        <v>41.8</v>
      </c>
      <c r="E32">
        <v>37.4</v>
      </c>
    </row>
    <row r="33" spans="1:5" x14ac:dyDescent="0.25">
      <c r="A33" t="s">
        <v>33</v>
      </c>
      <c r="B33">
        <v>271</v>
      </c>
      <c r="D33">
        <v>302</v>
      </c>
      <c r="E33">
        <v>293</v>
      </c>
    </row>
    <row r="34" spans="1:5" x14ac:dyDescent="0.25">
      <c r="A34" t="s">
        <v>34</v>
      </c>
      <c r="B34">
        <v>0.06</v>
      </c>
      <c r="D34">
        <v>0</v>
      </c>
      <c r="E34">
        <v>0.03</v>
      </c>
    </row>
    <row r="35" spans="1:5" x14ac:dyDescent="0.25">
      <c r="A35" t="s">
        <v>35</v>
      </c>
      <c r="B35">
        <v>0</v>
      </c>
      <c r="D35">
        <v>0</v>
      </c>
      <c r="E35">
        <v>7.4</v>
      </c>
    </row>
    <row r="36" spans="1:5" x14ac:dyDescent="0.25">
      <c r="A36" t="s">
        <v>36</v>
      </c>
      <c r="B36">
        <v>0</v>
      </c>
      <c r="D36">
        <v>0</v>
      </c>
      <c r="E36">
        <v>0</v>
      </c>
    </row>
    <row r="37" spans="1:5" x14ac:dyDescent="0.25">
      <c r="A37" t="s">
        <v>37</v>
      </c>
      <c r="B37">
        <v>7.0000000000000007E-2</v>
      </c>
      <c r="E37">
        <v>7.0000000000000007E-2</v>
      </c>
    </row>
    <row r="38" spans="1:5" x14ac:dyDescent="0.25">
      <c r="A38" t="s">
        <v>38</v>
      </c>
      <c r="B38">
        <v>24</v>
      </c>
      <c r="D38">
        <v>29</v>
      </c>
      <c r="E38">
        <v>26</v>
      </c>
    </row>
    <row r="39" spans="1:5" x14ac:dyDescent="0.25">
      <c r="A39" t="s">
        <v>39</v>
      </c>
      <c r="B39">
        <v>0.01</v>
      </c>
      <c r="E39">
        <v>7.0000000000000001E-3</v>
      </c>
    </row>
    <row r="40" spans="1:5" x14ac:dyDescent="0.25">
      <c r="A40" t="s">
        <v>40</v>
      </c>
      <c r="B40">
        <v>202</v>
      </c>
      <c r="D40">
        <v>247</v>
      </c>
      <c r="E40">
        <v>242</v>
      </c>
    </row>
    <row r="41" spans="1:5" x14ac:dyDescent="0.25">
      <c r="A41" t="s">
        <v>41</v>
      </c>
      <c r="B41">
        <v>317</v>
      </c>
      <c r="D41">
        <v>382</v>
      </c>
      <c r="E41">
        <v>374</v>
      </c>
    </row>
    <row r="42" spans="1:5" x14ac:dyDescent="0.25">
      <c r="A42" t="s">
        <v>42</v>
      </c>
      <c r="B42">
        <v>8.8800000000000008</v>
      </c>
      <c r="D42">
        <v>5.04</v>
      </c>
      <c r="E42">
        <v>7.44</v>
      </c>
    </row>
    <row r="43" spans="1:5" x14ac:dyDescent="0.25">
      <c r="A43" t="s">
        <v>43</v>
      </c>
      <c r="B43">
        <v>103</v>
      </c>
      <c r="D43">
        <v>94</v>
      </c>
      <c r="E43">
        <v>101</v>
      </c>
    </row>
    <row r="44" spans="1:5" x14ac:dyDescent="0.25">
      <c r="A44" t="s">
        <v>44</v>
      </c>
      <c r="B44">
        <v>0.89</v>
      </c>
      <c r="D44">
        <v>1.03</v>
      </c>
      <c r="E44">
        <v>1.01</v>
      </c>
    </row>
    <row r="45" spans="1:5" x14ac:dyDescent="0.25">
      <c r="A45" t="s">
        <v>45</v>
      </c>
      <c r="B45">
        <v>0.25700000000000001</v>
      </c>
      <c r="E45">
        <v>0.27400000000000002</v>
      </c>
    </row>
    <row r="46" spans="1:5" x14ac:dyDescent="0.25">
      <c r="A46" t="s">
        <v>46</v>
      </c>
      <c r="B46">
        <v>0.216</v>
      </c>
      <c r="E46">
        <v>0.23</v>
      </c>
    </row>
    <row r="47" spans="1:5" x14ac:dyDescent="0.25">
      <c r="A47" t="s">
        <v>47</v>
      </c>
      <c r="B47">
        <v>0.64800000000000002</v>
      </c>
      <c r="E47">
        <v>0.69099999999999995</v>
      </c>
    </row>
    <row r="48" spans="1:5" x14ac:dyDescent="0.25">
      <c r="A48" t="s">
        <v>48</v>
      </c>
      <c r="B48">
        <v>4.5999999999999999E-2</v>
      </c>
      <c r="E48">
        <v>0.05</v>
      </c>
    </row>
    <row r="49" spans="1:5" x14ac:dyDescent="0.25">
      <c r="A49" t="s">
        <v>49</v>
      </c>
      <c r="B49">
        <f>B48</f>
        <v>4.5999999999999999E-2</v>
      </c>
      <c r="C49">
        <f>C48</f>
        <v>0</v>
      </c>
      <c r="D49">
        <f>D48</f>
        <v>0</v>
      </c>
      <c r="E49">
        <f>E48</f>
        <v>0.05</v>
      </c>
    </row>
    <row r="50" spans="1:5" x14ac:dyDescent="0.25">
      <c r="A50" t="s">
        <v>50</v>
      </c>
      <c r="B50">
        <v>1.6990000000000001</v>
      </c>
      <c r="E50">
        <v>1.8169999999999999</v>
      </c>
    </row>
    <row r="51" spans="1:5" x14ac:dyDescent="0.25">
      <c r="A51" t="s">
        <v>51</v>
      </c>
      <c r="B51">
        <v>0.14899999999999999</v>
      </c>
      <c r="E51">
        <v>0.161</v>
      </c>
    </row>
    <row r="52" spans="1:5" x14ac:dyDescent="0.25">
      <c r="A52" t="s">
        <v>52</v>
      </c>
      <c r="B52">
        <v>0.22800000000000001</v>
      </c>
      <c r="E52">
        <v>0.245</v>
      </c>
    </row>
    <row r="53" spans="1:5" x14ac:dyDescent="0.25">
      <c r="A53" t="s">
        <v>53</v>
      </c>
      <c r="B53">
        <v>0</v>
      </c>
      <c r="C53">
        <f>B53</f>
        <v>0</v>
      </c>
      <c r="D53">
        <f>C53</f>
        <v>0</v>
      </c>
      <c r="E53">
        <f>D53</f>
        <v>0</v>
      </c>
    </row>
    <row r="54" spans="1:5" x14ac:dyDescent="0.25">
      <c r="A54" t="s">
        <v>54</v>
      </c>
      <c r="B54">
        <v>0.39100000000000001</v>
      </c>
      <c r="E54">
        <v>0.41799999999999998</v>
      </c>
    </row>
    <row r="55" spans="1:5" x14ac:dyDescent="0.25">
      <c r="A55" t="s">
        <v>55</v>
      </c>
      <c r="B55">
        <v>0.71799999999999997</v>
      </c>
      <c r="E55">
        <v>0.76600000000000001</v>
      </c>
    </row>
    <row r="56" spans="1:5" x14ac:dyDescent="0.25">
      <c r="A56" t="s">
        <v>56</v>
      </c>
      <c r="B56">
        <v>0.63400000000000001</v>
      </c>
      <c r="E56">
        <v>0.67700000000000005</v>
      </c>
    </row>
    <row r="57" spans="1:5" x14ac:dyDescent="0.25">
      <c r="A57" t="s">
        <v>57</v>
      </c>
      <c r="B57">
        <v>0.19900000000000001</v>
      </c>
      <c r="E57">
        <v>0.21099999999999999</v>
      </c>
    </row>
    <row r="58" spans="1:5" x14ac:dyDescent="0.25">
      <c r="A58" t="s">
        <v>58</v>
      </c>
      <c r="B58">
        <v>0.39100000000000001</v>
      </c>
      <c r="E58">
        <v>0.42</v>
      </c>
    </row>
    <row r="59" spans="1:5" x14ac:dyDescent="0.25">
      <c r="A59" t="s">
        <v>59</v>
      </c>
      <c r="B59">
        <v>0.746</v>
      </c>
      <c r="E59">
        <v>0.79700000000000004</v>
      </c>
    </row>
    <row r="60" spans="1:5" x14ac:dyDescent="0.25">
      <c r="A60" t="s">
        <v>60</v>
      </c>
      <c r="B60">
        <v>0.45600000000000002</v>
      </c>
      <c r="E60">
        <v>0.48699999999999999</v>
      </c>
    </row>
    <row r="61" spans="1:5" x14ac:dyDescent="0.25">
      <c r="A61" t="s">
        <v>61</v>
      </c>
      <c r="B61">
        <v>0.32200000000000001</v>
      </c>
      <c r="E61">
        <v>0.34599999999999997</v>
      </c>
    </row>
    <row r="62" spans="1:5" x14ac:dyDescent="0.25">
      <c r="A62" t="s">
        <v>62</v>
      </c>
      <c r="B62">
        <v>9.6000000000000002E-2</v>
      </c>
      <c r="E62">
        <v>0.10299999999999999</v>
      </c>
    </row>
    <row r="63" spans="1:5" x14ac:dyDescent="0.25">
      <c r="A63" t="s">
        <v>63</v>
      </c>
      <c r="B63">
        <v>0.38200000000000001</v>
      </c>
      <c r="E63">
        <v>0.40799999999999997</v>
      </c>
    </row>
    <row r="64" spans="1:5" x14ac:dyDescent="0.25">
      <c r="A64" t="s">
        <v>64</v>
      </c>
      <c r="B64">
        <v>0.49399999999999999</v>
      </c>
      <c r="E64">
        <v>0.53</v>
      </c>
    </row>
    <row r="65" spans="1:5" x14ac:dyDescent="0.25">
      <c r="A65" t="s">
        <v>65</v>
      </c>
      <c r="B65">
        <f>C65</f>
        <v>0</v>
      </c>
      <c r="C65">
        <f>D65</f>
        <v>0</v>
      </c>
      <c r="D65">
        <v>0</v>
      </c>
      <c r="E65">
        <f>D65</f>
        <v>0</v>
      </c>
    </row>
    <row r="66" spans="1:5" x14ac:dyDescent="0.25">
      <c r="A66" t="s">
        <v>66</v>
      </c>
      <c r="B66">
        <f>B65</f>
        <v>0</v>
      </c>
      <c r="C66">
        <f>C65</f>
        <v>0</v>
      </c>
      <c r="D66">
        <f>D65</f>
        <v>0</v>
      </c>
      <c r="E66">
        <f>E65</f>
        <v>0</v>
      </c>
    </row>
    <row r="67" spans="1:5" x14ac:dyDescent="0.25">
      <c r="A67" t="s">
        <v>67</v>
      </c>
      <c r="B67">
        <f>B66</f>
        <v>0</v>
      </c>
      <c r="C67">
        <f>C66</f>
        <v>0</v>
      </c>
      <c r="D67">
        <f>D66</f>
        <v>0</v>
      </c>
      <c r="E67">
        <f>E66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Scally</dc:creator>
  <cp:lastModifiedBy>Paul Scally</cp:lastModifiedBy>
  <dcterms:created xsi:type="dcterms:W3CDTF">2026-09-24T10:13:12Z</dcterms:created>
  <dcterms:modified xsi:type="dcterms:W3CDTF">2026-09-24T10:38:51Z</dcterms:modified>
</cp:coreProperties>
</file>